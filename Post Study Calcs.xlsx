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filterPrivacy="1"/>
  <xr:revisionPtr revIDLastSave="0" documentId="13_ncr:1_{76FB9252-4833-BA44-BB4B-81784617EB9E}" xr6:coauthVersionLast="47" xr6:coauthVersionMax="47" xr10:uidLastSave="{00000000-0000-0000-0000-000000000000}"/>
  <bookViews>
    <workbookView xWindow="18240" yWindow="2780" windowWidth="18540" windowHeight="12440" tabRatio="500" firstSheet="1" activeTab="1" xr2:uid="{00000000-000D-0000-FFFF-FFFF00000000}"/>
  </bookViews>
  <sheets>
    <sheet name="README" sheetId="1" r:id="rId1"/>
    <sheet name="Assumptions" sheetId="2" r:id="rId2"/>
    <sheet name="Data" sheetId="3" r:id="rId3"/>
    <sheet name="By_Output_Len" sheetId="4" r:id="rId4"/>
    <sheet name="By_Input_Len" sheetId="5" r:id="rId5"/>
    <sheet name="By_Rate" sheetId="6" r:id="rId6"/>
    <sheet name="Rate_Effect" sheetId="7" r:id="rId7"/>
    <sheet name="KV_Capacity" sheetId="8" r:id="rId8"/>
    <sheet name="Maximum Throughput" sheetId="9" r:id="rId9"/>
  </sheets>
  <definedNames>
    <definedName name="_xlnm._FilterDatabase" localSheetId="2" hidden="1">Data!$A$1:$AW$151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9" l="1"/>
  <c r="D17" i="9" s="1"/>
  <c r="B4" i="9"/>
  <c r="B64" i="7"/>
  <c r="B63" i="7"/>
  <c r="B62" i="7"/>
  <c r="B61" i="7"/>
  <c r="B59" i="7"/>
  <c r="B60" i="7" s="1"/>
  <c r="B58" i="7"/>
  <c r="F55" i="7"/>
  <c r="E55" i="7"/>
  <c r="D55" i="7"/>
  <c r="C55" i="7"/>
  <c r="B55" i="7"/>
  <c r="F54" i="7"/>
  <c r="E54" i="7"/>
  <c r="D54" i="7"/>
  <c r="C54" i="7"/>
  <c r="B54" i="7"/>
  <c r="F53" i="7"/>
  <c r="E53" i="7"/>
  <c r="D53" i="7"/>
  <c r="C53" i="7"/>
  <c r="B53" i="7"/>
  <c r="F52" i="7"/>
  <c r="E52" i="7"/>
  <c r="D52" i="7"/>
  <c r="C52" i="7"/>
  <c r="B52" i="7"/>
  <c r="F51" i="7"/>
  <c r="E51" i="7"/>
  <c r="D51" i="7"/>
  <c r="C51" i="7"/>
  <c r="B51" i="7"/>
  <c r="F50" i="7"/>
  <c r="E50" i="7"/>
  <c r="D50" i="7"/>
  <c r="C50" i="7"/>
  <c r="B50" i="7"/>
  <c r="F46" i="7"/>
  <c r="E46" i="7"/>
  <c r="D46" i="7"/>
  <c r="C46" i="7"/>
  <c r="B46" i="7"/>
  <c r="F45" i="7"/>
  <c r="E45" i="7"/>
  <c r="D45" i="7"/>
  <c r="C45" i="7"/>
  <c r="B45" i="7"/>
  <c r="F44" i="7"/>
  <c r="E44" i="7"/>
  <c r="D44" i="7"/>
  <c r="C44" i="7"/>
  <c r="B44" i="7"/>
  <c r="F43" i="7"/>
  <c r="E43" i="7"/>
  <c r="D43" i="7"/>
  <c r="C43" i="7"/>
  <c r="B43" i="7"/>
  <c r="F42" i="7"/>
  <c r="E42" i="7"/>
  <c r="D42" i="7"/>
  <c r="C42" i="7"/>
  <c r="B42" i="7"/>
  <c r="F41" i="7"/>
  <c r="E41" i="7"/>
  <c r="D41" i="7"/>
  <c r="C41" i="7"/>
  <c r="B41" i="7"/>
  <c r="F37" i="7"/>
  <c r="E37" i="7"/>
  <c r="D37" i="7"/>
  <c r="C37" i="7"/>
  <c r="B37" i="7"/>
  <c r="F36" i="7"/>
  <c r="E36" i="7"/>
  <c r="D36" i="7"/>
  <c r="C36" i="7"/>
  <c r="B36" i="7"/>
  <c r="F35" i="7"/>
  <c r="E35" i="7"/>
  <c r="D35" i="7"/>
  <c r="C35" i="7"/>
  <c r="B35" i="7"/>
  <c r="F34" i="7"/>
  <c r="E34" i="7"/>
  <c r="D34" i="7"/>
  <c r="C34" i="7"/>
  <c r="B34" i="7"/>
  <c r="F33" i="7"/>
  <c r="E33" i="7"/>
  <c r="D33" i="7"/>
  <c r="C33" i="7"/>
  <c r="B33" i="7"/>
  <c r="F32" i="7"/>
  <c r="E32" i="7"/>
  <c r="D32" i="7"/>
  <c r="C32" i="7"/>
  <c r="B32" i="7"/>
  <c r="F19" i="7"/>
  <c r="E19" i="7"/>
  <c r="D19" i="7"/>
  <c r="C19" i="7"/>
  <c r="B19" i="7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5" i="7"/>
  <c r="E15" i="7"/>
  <c r="D15" i="7"/>
  <c r="C15" i="7"/>
  <c r="B15" i="7"/>
  <c r="F11" i="7"/>
  <c r="E11" i="7"/>
  <c r="D11" i="7"/>
  <c r="C11" i="7"/>
  <c r="B11" i="7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T9" i="6"/>
  <c r="S9" i="6"/>
  <c r="N9" i="6"/>
  <c r="M9" i="6"/>
  <c r="L9" i="6"/>
  <c r="K9" i="6"/>
  <c r="J9" i="6"/>
  <c r="I9" i="6"/>
  <c r="H9" i="6"/>
  <c r="G9" i="6"/>
  <c r="E9" i="6"/>
  <c r="D9" i="6"/>
  <c r="C9" i="6"/>
  <c r="B9" i="6"/>
  <c r="T8" i="6"/>
  <c r="S8" i="6"/>
  <c r="N8" i="6"/>
  <c r="M8" i="6"/>
  <c r="L8" i="6"/>
  <c r="K8" i="6"/>
  <c r="J8" i="6"/>
  <c r="I8" i="6"/>
  <c r="H8" i="6"/>
  <c r="G8" i="6"/>
  <c r="E8" i="6"/>
  <c r="D8" i="6"/>
  <c r="C8" i="6"/>
  <c r="B8" i="6"/>
  <c r="T7" i="6"/>
  <c r="S7" i="6"/>
  <c r="N7" i="6"/>
  <c r="M7" i="6"/>
  <c r="L7" i="6"/>
  <c r="K7" i="6"/>
  <c r="J7" i="6"/>
  <c r="I7" i="6"/>
  <c r="H7" i="6"/>
  <c r="G7" i="6"/>
  <c r="E7" i="6"/>
  <c r="D7" i="6"/>
  <c r="C7" i="6"/>
  <c r="B7" i="6"/>
  <c r="T6" i="6"/>
  <c r="S6" i="6"/>
  <c r="N6" i="6"/>
  <c r="M6" i="6"/>
  <c r="L6" i="6"/>
  <c r="K6" i="6"/>
  <c r="J6" i="6"/>
  <c r="I6" i="6"/>
  <c r="H6" i="6"/>
  <c r="G6" i="6"/>
  <c r="E6" i="6"/>
  <c r="D6" i="6"/>
  <c r="C6" i="6"/>
  <c r="B6" i="6"/>
  <c r="T5" i="6"/>
  <c r="S5" i="6"/>
  <c r="N5" i="6"/>
  <c r="M5" i="6"/>
  <c r="L5" i="6"/>
  <c r="K5" i="6"/>
  <c r="J5" i="6"/>
  <c r="I5" i="6"/>
  <c r="H5" i="6"/>
  <c r="G5" i="6"/>
  <c r="E5" i="6"/>
  <c r="D5" i="6"/>
  <c r="C5" i="6"/>
  <c r="B5" i="6"/>
  <c r="T9" i="5"/>
  <c r="S9" i="5"/>
  <c r="N9" i="5"/>
  <c r="M9" i="5"/>
  <c r="L9" i="5"/>
  <c r="K9" i="5"/>
  <c r="J9" i="5"/>
  <c r="I9" i="5"/>
  <c r="H9" i="5"/>
  <c r="G9" i="5"/>
  <c r="E9" i="5"/>
  <c r="D9" i="5"/>
  <c r="C9" i="5"/>
  <c r="B9" i="5"/>
  <c r="T8" i="5"/>
  <c r="S8" i="5"/>
  <c r="N8" i="5"/>
  <c r="M8" i="5"/>
  <c r="L8" i="5"/>
  <c r="K8" i="5"/>
  <c r="J8" i="5"/>
  <c r="I8" i="5"/>
  <c r="H8" i="5"/>
  <c r="G8" i="5"/>
  <c r="E8" i="5"/>
  <c r="D8" i="5"/>
  <c r="C8" i="5"/>
  <c r="B8" i="5"/>
  <c r="T7" i="5"/>
  <c r="S7" i="5"/>
  <c r="N7" i="5"/>
  <c r="M7" i="5"/>
  <c r="L7" i="5"/>
  <c r="K7" i="5"/>
  <c r="J7" i="5"/>
  <c r="I7" i="5"/>
  <c r="H7" i="5"/>
  <c r="G7" i="5"/>
  <c r="E7" i="5"/>
  <c r="D7" i="5"/>
  <c r="C7" i="5"/>
  <c r="B7" i="5"/>
  <c r="T6" i="5"/>
  <c r="S6" i="5"/>
  <c r="N6" i="5"/>
  <c r="M6" i="5"/>
  <c r="L6" i="5"/>
  <c r="K6" i="5"/>
  <c r="J6" i="5"/>
  <c r="I6" i="5"/>
  <c r="H6" i="5"/>
  <c r="G6" i="5"/>
  <c r="E6" i="5"/>
  <c r="D6" i="5"/>
  <c r="C6" i="5"/>
  <c r="B6" i="5"/>
  <c r="T5" i="5"/>
  <c r="S5" i="5"/>
  <c r="N5" i="5"/>
  <c r="M5" i="5"/>
  <c r="L5" i="5"/>
  <c r="K5" i="5"/>
  <c r="J5" i="5"/>
  <c r="I5" i="5"/>
  <c r="H5" i="5"/>
  <c r="G5" i="5"/>
  <c r="E5" i="5"/>
  <c r="D5" i="5"/>
  <c r="C5" i="5"/>
  <c r="B5" i="5"/>
  <c r="T10" i="4"/>
  <c r="S10" i="4"/>
  <c r="N10" i="4"/>
  <c r="M10" i="4"/>
  <c r="L10" i="4"/>
  <c r="K10" i="4"/>
  <c r="J10" i="4"/>
  <c r="I10" i="4"/>
  <c r="H10" i="4"/>
  <c r="G10" i="4"/>
  <c r="E10" i="4"/>
  <c r="D10" i="4"/>
  <c r="C10" i="4"/>
  <c r="B10" i="4"/>
  <c r="T9" i="4"/>
  <c r="S9" i="4"/>
  <c r="N9" i="4"/>
  <c r="M9" i="4"/>
  <c r="L9" i="4"/>
  <c r="K9" i="4"/>
  <c r="J9" i="4"/>
  <c r="I9" i="4"/>
  <c r="H9" i="4"/>
  <c r="G9" i="4"/>
  <c r="E9" i="4"/>
  <c r="D9" i="4"/>
  <c r="C9" i="4"/>
  <c r="B9" i="4"/>
  <c r="T8" i="4"/>
  <c r="S8" i="4"/>
  <c r="N8" i="4"/>
  <c r="M8" i="4"/>
  <c r="L8" i="4"/>
  <c r="K8" i="4"/>
  <c r="J8" i="4"/>
  <c r="I8" i="4"/>
  <c r="H8" i="4"/>
  <c r="G8" i="4"/>
  <c r="E8" i="4"/>
  <c r="D8" i="4"/>
  <c r="C8" i="4"/>
  <c r="B8" i="4"/>
  <c r="T7" i="4"/>
  <c r="S7" i="4"/>
  <c r="N7" i="4"/>
  <c r="M7" i="4"/>
  <c r="L7" i="4"/>
  <c r="K7" i="4"/>
  <c r="J7" i="4"/>
  <c r="I7" i="4"/>
  <c r="H7" i="4"/>
  <c r="G7" i="4"/>
  <c r="E7" i="4"/>
  <c r="D7" i="4"/>
  <c r="C7" i="4"/>
  <c r="B7" i="4"/>
  <c r="T6" i="4"/>
  <c r="S6" i="4"/>
  <c r="N6" i="4"/>
  <c r="M6" i="4"/>
  <c r="L6" i="4"/>
  <c r="K6" i="4"/>
  <c r="J6" i="4"/>
  <c r="I6" i="4"/>
  <c r="H6" i="4"/>
  <c r="G6" i="4"/>
  <c r="E6" i="4"/>
  <c r="D6" i="4"/>
  <c r="C6" i="4"/>
  <c r="B6" i="4"/>
  <c r="T5" i="4"/>
  <c r="S5" i="4"/>
  <c r="N5" i="4"/>
  <c r="M5" i="4"/>
  <c r="L5" i="4"/>
  <c r="K5" i="4"/>
  <c r="J5" i="4"/>
  <c r="I5" i="4"/>
  <c r="H5" i="4"/>
  <c r="G5" i="4"/>
  <c r="E5" i="4"/>
  <c r="D5" i="4"/>
  <c r="C5" i="4"/>
  <c r="B5" i="4"/>
  <c r="AW151" i="3"/>
  <c r="AV151" i="3"/>
  <c r="AS151" i="3"/>
  <c r="AO151" i="3"/>
  <c r="AL151" i="3"/>
  <c r="AK151" i="3"/>
  <c r="AN151" i="3" s="1"/>
  <c r="AJ151" i="3"/>
  <c r="AI151" i="3"/>
  <c r="AM151" i="3" s="1"/>
  <c r="AH151" i="3"/>
  <c r="AG151" i="3"/>
  <c r="AF151" i="3"/>
  <c r="AE151" i="3"/>
  <c r="AW150" i="3"/>
  <c r="AV150" i="3"/>
  <c r="AS150" i="3"/>
  <c r="AO150" i="3"/>
  <c r="AM150" i="3"/>
  <c r="AL150" i="3"/>
  <c r="AK150" i="3"/>
  <c r="AN150" i="3" s="1"/>
  <c r="AJ150" i="3"/>
  <c r="AI150" i="3"/>
  <c r="AH150" i="3"/>
  <c r="AG150" i="3"/>
  <c r="AF150" i="3"/>
  <c r="AE150" i="3"/>
  <c r="AW149" i="3"/>
  <c r="AV149" i="3"/>
  <c r="AS149" i="3"/>
  <c r="AO149" i="3"/>
  <c r="AL149" i="3"/>
  <c r="AK149" i="3"/>
  <c r="AN149" i="3" s="1"/>
  <c r="AJ149" i="3"/>
  <c r="AI149" i="3"/>
  <c r="AM149" i="3" s="1"/>
  <c r="AH149" i="3"/>
  <c r="AG149" i="3"/>
  <c r="AF149" i="3"/>
  <c r="AE149" i="3"/>
  <c r="AW148" i="3"/>
  <c r="AV148" i="3"/>
  <c r="AS148" i="3"/>
  <c r="AO148" i="3"/>
  <c r="AN148" i="3"/>
  <c r="AL148" i="3"/>
  <c r="AK148" i="3"/>
  <c r="AJ148" i="3"/>
  <c r="AI148" i="3"/>
  <c r="AM148" i="3" s="1"/>
  <c r="AH148" i="3"/>
  <c r="AF148" i="3"/>
  <c r="AG148" i="3" s="1"/>
  <c r="AE148" i="3"/>
  <c r="AW147" i="3"/>
  <c r="AV147" i="3"/>
  <c r="AS147" i="3"/>
  <c r="AO147" i="3"/>
  <c r="AN147" i="3"/>
  <c r="AM147" i="3"/>
  <c r="AL147" i="3"/>
  <c r="AK147" i="3"/>
  <c r="AJ147" i="3"/>
  <c r="AI147" i="3"/>
  <c r="AH147" i="3"/>
  <c r="AG147" i="3"/>
  <c r="AF147" i="3"/>
  <c r="AE147" i="3"/>
  <c r="AW146" i="3"/>
  <c r="AV146" i="3"/>
  <c r="AS146" i="3"/>
  <c r="AO146" i="3"/>
  <c r="AN146" i="3"/>
  <c r="AM146" i="3"/>
  <c r="AL146" i="3"/>
  <c r="AK146" i="3"/>
  <c r="AJ146" i="3"/>
  <c r="AI146" i="3"/>
  <c r="AH146" i="3"/>
  <c r="AF146" i="3"/>
  <c r="AG146" i="3" s="1"/>
  <c r="AE146" i="3"/>
  <c r="AW145" i="3"/>
  <c r="AV145" i="3"/>
  <c r="AS145" i="3"/>
  <c r="AO145" i="3"/>
  <c r="AN145" i="3"/>
  <c r="AL145" i="3"/>
  <c r="AK145" i="3"/>
  <c r="AJ145" i="3"/>
  <c r="AI145" i="3"/>
  <c r="AM145" i="3" s="1"/>
  <c r="AH145" i="3"/>
  <c r="AG145" i="3"/>
  <c r="AF145" i="3"/>
  <c r="AE145" i="3"/>
  <c r="AW144" i="3"/>
  <c r="AV144" i="3"/>
  <c r="AS144" i="3"/>
  <c r="AO144" i="3"/>
  <c r="AM144" i="3"/>
  <c r="AL144" i="3"/>
  <c r="AK144" i="3"/>
  <c r="AN144" i="3" s="1"/>
  <c r="AJ144" i="3"/>
  <c r="AI144" i="3"/>
  <c r="AH144" i="3"/>
  <c r="AG144" i="3"/>
  <c r="AF144" i="3"/>
  <c r="AE144" i="3"/>
  <c r="AW143" i="3"/>
  <c r="AV143" i="3"/>
  <c r="AS143" i="3"/>
  <c r="AO143" i="3"/>
  <c r="AL143" i="3"/>
  <c r="AK143" i="3"/>
  <c r="AN143" i="3" s="1"/>
  <c r="AJ143" i="3"/>
  <c r="AI143" i="3"/>
  <c r="AM143" i="3" s="1"/>
  <c r="AH143" i="3"/>
  <c r="AG143" i="3"/>
  <c r="AF143" i="3"/>
  <c r="AE143" i="3"/>
  <c r="AW142" i="3"/>
  <c r="AV142" i="3"/>
  <c r="AS142" i="3"/>
  <c r="AO142" i="3"/>
  <c r="AN142" i="3"/>
  <c r="AL142" i="3"/>
  <c r="AK142" i="3"/>
  <c r="AJ142" i="3"/>
  <c r="AI142" i="3"/>
  <c r="AM142" i="3" s="1"/>
  <c r="AH142" i="3"/>
  <c r="AF142" i="3"/>
  <c r="AG142" i="3" s="1"/>
  <c r="AE142" i="3"/>
  <c r="AW141" i="3"/>
  <c r="AV141" i="3"/>
  <c r="AS141" i="3"/>
  <c r="AO141" i="3"/>
  <c r="AN141" i="3"/>
  <c r="AM141" i="3"/>
  <c r="AL141" i="3"/>
  <c r="AK141" i="3"/>
  <c r="AJ141" i="3"/>
  <c r="AI141" i="3"/>
  <c r="AH141" i="3"/>
  <c r="AG141" i="3"/>
  <c r="AF141" i="3"/>
  <c r="AE141" i="3"/>
  <c r="AW140" i="3"/>
  <c r="AV140" i="3"/>
  <c r="AS140" i="3"/>
  <c r="AO140" i="3"/>
  <c r="AL140" i="3"/>
  <c r="AK140" i="3"/>
  <c r="AN140" i="3" s="1"/>
  <c r="AJ140" i="3"/>
  <c r="AI140" i="3"/>
  <c r="AM140" i="3" s="1"/>
  <c r="AH140" i="3"/>
  <c r="AG140" i="3"/>
  <c r="AF140" i="3"/>
  <c r="AE140" i="3"/>
  <c r="AW139" i="3"/>
  <c r="AV139" i="3"/>
  <c r="AS139" i="3"/>
  <c r="AO139" i="3"/>
  <c r="AM139" i="3"/>
  <c r="AL139" i="3"/>
  <c r="AK139" i="3"/>
  <c r="AN139" i="3" s="1"/>
  <c r="AJ139" i="3"/>
  <c r="AI139" i="3"/>
  <c r="AH139" i="3"/>
  <c r="AG139" i="3"/>
  <c r="AF139" i="3"/>
  <c r="AE139" i="3"/>
  <c r="AW138" i="3"/>
  <c r="AV138" i="3"/>
  <c r="AS138" i="3"/>
  <c r="AO138" i="3"/>
  <c r="AL138" i="3"/>
  <c r="AK138" i="3"/>
  <c r="AN138" i="3" s="1"/>
  <c r="AJ138" i="3"/>
  <c r="AI138" i="3"/>
  <c r="AM138" i="3" s="1"/>
  <c r="AH138" i="3"/>
  <c r="AF138" i="3"/>
  <c r="AG138" i="3" s="1"/>
  <c r="AE138" i="3"/>
  <c r="AW137" i="3"/>
  <c r="AV137" i="3"/>
  <c r="AS137" i="3"/>
  <c r="AO137" i="3"/>
  <c r="AN137" i="3"/>
  <c r="AL137" i="3"/>
  <c r="AK137" i="3"/>
  <c r="AJ137" i="3"/>
  <c r="AI137" i="3"/>
  <c r="AM137" i="3" s="1"/>
  <c r="AH137" i="3"/>
  <c r="AF137" i="3"/>
  <c r="AG137" i="3" s="1"/>
  <c r="AE137" i="3"/>
  <c r="AW136" i="3"/>
  <c r="AV136" i="3"/>
  <c r="AS136" i="3"/>
  <c r="AO136" i="3"/>
  <c r="AN136" i="3"/>
  <c r="AM136" i="3"/>
  <c r="AL136" i="3"/>
  <c r="AK136" i="3"/>
  <c r="AJ136" i="3"/>
  <c r="AI136" i="3"/>
  <c r="AH136" i="3"/>
  <c r="AF136" i="3"/>
  <c r="AG136" i="3" s="1"/>
  <c r="AE136" i="3"/>
  <c r="AW135" i="3"/>
  <c r="AV135" i="3"/>
  <c r="AS135" i="3"/>
  <c r="AO135" i="3"/>
  <c r="AM135" i="3"/>
  <c r="AL135" i="3"/>
  <c r="AK135" i="3"/>
  <c r="AN135" i="3" s="1"/>
  <c r="AJ135" i="3"/>
  <c r="AI135" i="3"/>
  <c r="AH135" i="3"/>
  <c r="AF135" i="3"/>
  <c r="AG135" i="3" s="1"/>
  <c r="AE135" i="3"/>
  <c r="AW134" i="3"/>
  <c r="AV134" i="3"/>
  <c r="AS134" i="3"/>
  <c r="AO134" i="3"/>
  <c r="AN134" i="3"/>
  <c r="AM134" i="3"/>
  <c r="AL134" i="3"/>
  <c r="AK134" i="3"/>
  <c r="AJ134" i="3"/>
  <c r="AI134" i="3"/>
  <c r="AH134" i="3"/>
  <c r="AG134" i="3"/>
  <c r="AF134" i="3"/>
  <c r="AE134" i="3"/>
  <c r="AW133" i="3"/>
  <c r="AV133" i="3"/>
  <c r="AS133" i="3"/>
  <c r="AO133" i="3"/>
  <c r="AL133" i="3"/>
  <c r="AK133" i="3"/>
  <c r="AN133" i="3" s="1"/>
  <c r="AJ133" i="3"/>
  <c r="AI133" i="3"/>
  <c r="AM133" i="3" s="1"/>
  <c r="AH133" i="3"/>
  <c r="AG133" i="3"/>
  <c r="AF133" i="3"/>
  <c r="AE133" i="3"/>
  <c r="AW132" i="3"/>
  <c r="AV132" i="3"/>
  <c r="AS132" i="3"/>
  <c r="AO132" i="3"/>
  <c r="AL132" i="3"/>
  <c r="AK132" i="3"/>
  <c r="AN132" i="3" s="1"/>
  <c r="AJ132" i="3"/>
  <c r="AI132" i="3"/>
  <c r="AM132" i="3" s="1"/>
  <c r="AH132" i="3"/>
  <c r="AF132" i="3"/>
  <c r="AG132" i="3" s="1"/>
  <c r="AE132" i="3"/>
  <c r="AW131" i="3"/>
  <c r="AV131" i="3"/>
  <c r="AS131" i="3"/>
  <c r="AO131" i="3"/>
  <c r="AN131" i="3"/>
  <c r="AM131" i="3"/>
  <c r="AL131" i="3"/>
  <c r="AK131" i="3"/>
  <c r="AJ131" i="3"/>
  <c r="AI131" i="3"/>
  <c r="AH131" i="3"/>
  <c r="AG131" i="3"/>
  <c r="AF131" i="3"/>
  <c r="AE131" i="3"/>
  <c r="AW130" i="3"/>
  <c r="AV130" i="3"/>
  <c r="AS130" i="3"/>
  <c r="AO130" i="3"/>
  <c r="AM130" i="3"/>
  <c r="AL130" i="3"/>
  <c r="AK130" i="3"/>
  <c r="AN130" i="3" s="1"/>
  <c r="AJ130" i="3"/>
  <c r="AI130" i="3"/>
  <c r="AH130" i="3"/>
  <c r="AG130" i="3"/>
  <c r="AF130" i="3"/>
  <c r="AE130" i="3"/>
  <c r="AW129" i="3"/>
  <c r="AV129" i="3"/>
  <c r="AS129" i="3"/>
  <c r="AO129" i="3"/>
  <c r="AL129" i="3"/>
  <c r="AK129" i="3"/>
  <c r="AN129" i="3" s="1"/>
  <c r="AJ129" i="3"/>
  <c r="AI129" i="3"/>
  <c r="AM129" i="3" s="1"/>
  <c r="AH129" i="3"/>
  <c r="AG129" i="3"/>
  <c r="AF129" i="3"/>
  <c r="AE129" i="3"/>
  <c r="AW128" i="3"/>
  <c r="AV128" i="3"/>
  <c r="AS128" i="3"/>
  <c r="AO128" i="3"/>
  <c r="AL128" i="3"/>
  <c r="AK128" i="3"/>
  <c r="AN128" i="3" s="1"/>
  <c r="AJ128" i="3"/>
  <c r="AI128" i="3"/>
  <c r="AM128" i="3" s="1"/>
  <c r="AH128" i="3"/>
  <c r="AG128" i="3"/>
  <c r="AF128" i="3"/>
  <c r="AE128" i="3"/>
  <c r="AW127" i="3"/>
  <c r="AV127" i="3"/>
  <c r="AS127" i="3"/>
  <c r="AO127" i="3"/>
  <c r="AL127" i="3"/>
  <c r="AK127" i="3"/>
  <c r="AN127" i="3" s="1"/>
  <c r="AJ127" i="3"/>
  <c r="AI127" i="3"/>
  <c r="AM127" i="3" s="1"/>
  <c r="AH127" i="3"/>
  <c r="AF127" i="3"/>
  <c r="AG127" i="3" s="1"/>
  <c r="AE127" i="3"/>
  <c r="AW126" i="3"/>
  <c r="AV126" i="3"/>
  <c r="AS126" i="3"/>
  <c r="AO126" i="3"/>
  <c r="AN126" i="3"/>
  <c r="AL126" i="3"/>
  <c r="AK126" i="3"/>
  <c r="AJ126" i="3"/>
  <c r="AI126" i="3"/>
  <c r="AM126" i="3" s="1"/>
  <c r="AH126" i="3"/>
  <c r="AF126" i="3"/>
  <c r="AG126" i="3" s="1"/>
  <c r="AE126" i="3"/>
  <c r="AW125" i="3"/>
  <c r="AV125" i="3"/>
  <c r="AS125" i="3"/>
  <c r="AO125" i="3"/>
  <c r="AN125" i="3"/>
  <c r="AM125" i="3"/>
  <c r="AL125" i="3"/>
  <c r="AK125" i="3"/>
  <c r="AJ125" i="3"/>
  <c r="AI125" i="3"/>
  <c r="AH125" i="3"/>
  <c r="AF125" i="3"/>
  <c r="AG125" i="3" s="1"/>
  <c r="AE125" i="3"/>
  <c r="AW124" i="3"/>
  <c r="AV124" i="3"/>
  <c r="AS124" i="3"/>
  <c r="AO124" i="3"/>
  <c r="AM124" i="3"/>
  <c r="AL124" i="3"/>
  <c r="AK124" i="3"/>
  <c r="AN124" i="3" s="1"/>
  <c r="AJ124" i="3"/>
  <c r="AI124" i="3"/>
  <c r="AH124" i="3"/>
  <c r="AG124" i="3"/>
  <c r="AF124" i="3"/>
  <c r="AE124" i="3"/>
  <c r="AW123" i="3"/>
  <c r="AV123" i="3"/>
  <c r="AS123" i="3"/>
  <c r="AO123" i="3"/>
  <c r="AN123" i="3"/>
  <c r="AL123" i="3"/>
  <c r="AK123" i="3"/>
  <c r="AJ123" i="3"/>
  <c r="AI123" i="3"/>
  <c r="AM123" i="3" s="1"/>
  <c r="AH123" i="3"/>
  <c r="AG123" i="3"/>
  <c r="AF123" i="3"/>
  <c r="AE123" i="3"/>
  <c r="AW122" i="3"/>
  <c r="AV122" i="3"/>
  <c r="AS122" i="3"/>
  <c r="AO122" i="3"/>
  <c r="AL122" i="3"/>
  <c r="R9" i="5" s="1"/>
  <c r="AK122" i="3"/>
  <c r="AJ122" i="3"/>
  <c r="AI122" i="3"/>
  <c r="AH122" i="3"/>
  <c r="AF122" i="3"/>
  <c r="AG122" i="3" s="1"/>
  <c r="AE122" i="3"/>
  <c r="AW121" i="3"/>
  <c r="AV121" i="3"/>
  <c r="AS121" i="3"/>
  <c r="AO121" i="3"/>
  <c r="AN121" i="3"/>
  <c r="AL121" i="3"/>
  <c r="AK121" i="3"/>
  <c r="AJ121" i="3"/>
  <c r="AI121" i="3"/>
  <c r="AM121" i="3" s="1"/>
  <c r="AH121" i="3"/>
  <c r="AG121" i="3"/>
  <c r="AF121" i="3"/>
  <c r="AE121" i="3"/>
  <c r="AW120" i="3"/>
  <c r="AV120" i="3"/>
  <c r="AS120" i="3"/>
  <c r="AO120" i="3"/>
  <c r="AN120" i="3"/>
  <c r="AM120" i="3"/>
  <c r="AL120" i="3"/>
  <c r="AK120" i="3"/>
  <c r="AJ120" i="3"/>
  <c r="AI120" i="3"/>
  <c r="AH120" i="3"/>
  <c r="AF120" i="3"/>
  <c r="AG120" i="3" s="1"/>
  <c r="AE120" i="3"/>
  <c r="AW119" i="3"/>
  <c r="AV119" i="3"/>
  <c r="AS119" i="3"/>
  <c r="AO119" i="3"/>
  <c r="AM119" i="3"/>
  <c r="AL119" i="3"/>
  <c r="AK119" i="3"/>
  <c r="AN119" i="3" s="1"/>
  <c r="AJ119" i="3"/>
  <c r="AI119" i="3"/>
  <c r="AH119" i="3"/>
  <c r="AF119" i="3"/>
  <c r="AG119" i="3" s="1"/>
  <c r="AE119" i="3"/>
  <c r="AW118" i="3"/>
  <c r="AV118" i="3"/>
  <c r="AS118" i="3"/>
  <c r="AO118" i="3"/>
  <c r="AL118" i="3"/>
  <c r="AK118" i="3"/>
  <c r="AN118" i="3" s="1"/>
  <c r="AJ118" i="3"/>
  <c r="AI118" i="3"/>
  <c r="AM118" i="3" s="1"/>
  <c r="AH118" i="3"/>
  <c r="AG118" i="3"/>
  <c r="AF118" i="3"/>
  <c r="AE118" i="3"/>
  <c r="AW117" i="3"/>
  <c r="AV117" i="3"/>
  <c r="AS117" i="3"/>
  <c r="AO117" i="3"/>
  <c r="AN117" i="3"/>
  <c r="AM117" i="3"/>
  <c r="AL117" i="3"/>
  <c r="AK117" i="3"/>
  <c r="AJ117" i="3"/>
  <c r="AI117" i="3"/>
  <c r="AH117" i="3"/>
  <c r="AG117" i="3"/>
  <c r="AF117" i="3"/>
  <c r="AE117" i="3"/>
  <c r="AW116" i="3"/>
  <c r="AV116" i="3"/>
  <c r="AS116" i="3"/>
  <c r="AO116" i="3"/>
  <c r="AN116" i="3"/>
  <c r="AL116" i="3"/>
  <c r="AK116" i="3"/>
  <c r="AJ116" i="3"/>
  <c r="AI116" i="3"/>
  <c r="AM116" i="3" s="1"/>
  <c r="AH116" i="3"/>
  <c r="AF116" i="3"/>
  <c r="AG116" i="3" s="1"/>
  <c r="AE116" i="3"/>
  <c r="AW115" i="3"/>
  <c r="AV115" i="3"/>
  <c r="AS115" i="3"/>
  <c r="AO115" i="3"/>
  <c r="AN115" i="3"/>
  <c r="AL115" i="3"/>
  <c r="AK115" i="3"/>
  <c r="AJ115" i="3"/>
  <c r="AI115" i="3"/>
  <c r="AM115" i="3" s="1"/>
  <c r="AH115" i="3"/>
  <c r="AG115" i="3"/>
  <c r="AF115" i="3"/>
  <c r="AE115" i="3"/>
  <c r="AW114" i="3"/>
  <c r="AV114" i="3"/>
  <c r="AS114" i="3"/>
  <c r="AO114" i="3"/>
  <c r="AN114" i="3"/>
  <c r="AM114" i="3"/>
  <c r="AL114" i="3"/>
  <c r="AK114" i="3"/>
  <c r="AJ114" i="3"/>
  <c r="AI114" i="3"/>
  <c r="AH114" i="3"/>
  <c r="AF114" i="3"/>
  <c r="AG114" i="3" s="1"/>
  <c r="AE114" i="3"/>
  <c r="AW113" i="3"/>
  <c r="AV113" i="3"/>
  <c r="AS113" i="3"/>
  <c r="AO113" i="3"/>
  <c r="AM113" i="3"/>
  <c r="AL113" i="3"/>
  <c r="AK113" i="3"/>
  <c r="AN113" i="3" s="1"/>
  <c r="AJ113" i="3"/>
  <c r="AI113" i="3"/>
  <c r="AH113" i="3"/>
  <c r="AF113" i="3"/>
  <c r="AG113" i="3" s="1"/>
  <c r="AE113" i="3"/>
  <c r="AW112" i="3"/>
  <c r="AV112" i="3"/>
  <c r="AS112" i="3"/>
  <c r="AO112" i="3"/>
  <c r="AN112" i="3"/>
  <c r="AL112" i="3"/>
  <c r="AK112" i="3"/>
  <c r="AJ112" i="3"/>
  <c r="AI112" i="3"/>
  <c r="AM112" i="3" s="1"/>
  <c r="AH112" i="3"/>
  <c r="AF112" i="3"/>
  <c r="AG112" i="3" s="1"/>
  <c r="AE112" i="3"/>
  <c r="AW111" i="3"/>
  <c r="AV111" i="3"/>
  <c r="AS111" i="3"/>
  <c r="AO111" i="3"/>
  <c r="AL111" i="3"/>
  <c r="AK111" i="3"/>
  <c r="AN111" i="3" s="1"/>
  <c r="AJ111" i="3"/>
  <c r="AI111" i="3"/>
  <c r="AM111" i="3" s="1"/>
  <c r="AH111" i="3"/>
  <c r="AG111" i="3"/>
  <c r="AF111" i="3"/>
  <c r="AE111" i="3"/>
  <c r="AW110" i="3"/>
  <c r="AV110" i="3"/>
  <c r="AS110" i="3"/>
  <c r="AO110" i="3"/>
  <c r="AL110" i="3"/>
  <c r="AK110" i="3"/>
  <c r="AN110" i="3" s="1"/>
  <c r="AJ110" i="3"/>
  <c r="AI110" i="3"/>
  <c r="AM110" i="3" s="1"/>
  <c r="AH110" i="3"/>
  <c r="AG110" i="3"/>
  <c r="AF110" i="3"/>
  <c r="AE110" i="3"/>
  <c r="AW109" i="3"/>
  <c r="AV109" i="3"/>
  <c r="AS109" i="3"/>
  <c r="AO109" i="3"/>
  <c r="AL109" i="3"/>
  <c r="AK109" i="3"/>
  <c r="AN109" i="3" s="1"/>
  <c r="AJ109" i="3"/>
  <c r="AI109" i="3"/>
  <c r="AM109" i="3" s="1"/>
  <c r="AH109" i="3"/>
  <c r="AF109" i="3"/>
  <c r="AG109" i="3" s="1"/>
  <c r="AE109" i="3"/>
  <c r="AW108" i="3"/>
  <c r="AV108" i="3"/>
  <c r="AS108" i="3"/>
  <c r="AO108" i="3"/>
  <c r="AL108" i="3"/>
  <c r="AK108" i="3"/>
  <c r="AN108" i="3" s="1"/>
  <c r="AJ108" i="3"/>
  <c r="AI108" i="3"/>
  <c r="AM108" i="3" s="1"/>
  <c r="AH108" i="3"/>
  <c r="AF108" i="3"/>
  <c r="AG108" i="3" s="1"/>
  <c r="AE108" i="3"/>
  <c r="AW107" i="3"/>
  <c r="AV107" i="3"/>
  <c r="AS107" i="3"/>
  <c r="AO107" i="3"/>
  <c r="AM107" i="3"/>
  <c r="AL107" i="3"/>
  <c r="AK107" i="3"/>
  <c r="AN107" i="3" s="1"/>
  <c r="AJ107" i="3"/>
  <c r="AI107" i="3"/>
  <c r="AH107" i="3"/>
  <c r="AF107" i="3"/>
  <c r="AG107" i="3" s="1"/>
  <c r="AE107" i="3"/>
  <c r="AW106" i="3"/>
  <c r="AV106" i="3"/>
  <c r="AS106" i="3"/>
  <c r="AO106" i="3"/>
  <c r="AN106" i="3"/>
  <c r="AL106" i="3"/>
  <c r="AK106" i="3"/>
  <c r="AJ106" i="3"/>
  <c r="AI106" i="3"/>
  <c r="AM106" i="3" s="1"/>
  <c r="AH106" i="3"/>
  <c r="AG106" i="3"/>
  <c r="AF106" i="3"/>
  <c r="AE106" i="3"/>
  <c r="AW105" i="3"/>
  <c r="AV105" i="3"/>
  <c r="AS105" i="3"/>
  <c r="AO105" i="3"/>
  <c r="AL105" i="3"/>
  <c r="AK105" i="3"/>
  <c r="AN105" i="3" s="1"/>
  <c r="AJ105" i="3"/>
  <c r="AI105" i="3"/>
  <c r="AM105" i="3" s="1"/>
  <c r="AH105" i="3"/>
  <c r="AG105" i="3"/>
  <c r="AF105" i="3"/>
  <c r="AE105" i="3"/>
  <c r="AW104" i="3"/>
  <c r="AV104" i="3"/>
  <c r="AS104" i="3"/>
  <c r="AO104" i="3"/>
  <c r="AM104" i="3"/>
  <c r="AL104" i="3"/>
  <c r="AK104" i="3"/>
  <c r="AN104" i="3" s="1"/>
  <c r="AJ104" i="3"/>
  <c r="AI104" i="3"/>
  <c r="AH104" i="3"/>
  <c r="AF104" i="3"/>
  <c r="AG104" i="3" s="1"/>
  <c r="AE104" i="3"/>
  <c r="AW103" i="3"/>
  <c r="AV103" i="3"/>
  <c r="AS103" i="3"/>
  <c r="AO103" i="3"/>
  <c r="AN103" i="3"/>
  <c r="AL103" i="3"/>
  <c r="AK103" i="3"/>
  <c r="AJ103" i="3"/>
  <c r="AI103" i="3"/>
  <c r="AM103" i="3" s="1"/>
  <c r="AH103" i="3"/>
  <c r="AF103" i="3"/>
  <c r="AG103" i="3" s="1"/>
  <c r="AE103" i="3"/>
  <c r="AW102" i="3"/>
  <c r="AV102" i="3"/>
  <c r="AS102" i="3"/>
  <c r="AO102" i="3"/>
  <c r="AN102" i="3"/>
  <c r="AM102" i="3"/>
  <c r="AL102" i="3"/>
  <c r="AK102" i="3"/>
  <c r="AJ102" i="3"/>
  <c r="AI102" i="3"/>
  <c r="AH102" i="3"/>
  <c r="AF102" i="3"/>
  <c r="AG102" i="3" s="1"/>
  <c r="AE102" i="3"/>
  <c r="AW101" i="3"/>
  <c r="AV101" i="3"/>
  <c r="AS101" i="3"/>
  <c r="AO101" i="3"/>
  <c r="AL101" i="3"/>
  <c r="AK101" i="3"/>
  <c r="AN101" i="3" s="1"/>
  <c r="AJ101" i="3"/>
  <c r="AI101" i="3"/>
  <c r="AM101" i="3" s="1"/>
  <c r="AH101" i="3"/>
  <c r="AG101" i="3"/>
  <c r="AF101" i="3"/>
  <c r="AE101" i="3"/>
  <c r="AW100" i="3"/>
  <c r="AV100" i="3"/>
  <c r="AS100" i="3"/>
  <c r="AO100" i="3"/>
  <c r="AL100" i="3"/>
  <c r="AK100" i="3"/>
  <c r="AN100" i="3" s="1"/>
  <c r="AJ100" i="3"/>
  <c r="AI100" i="3"/>
  <c r="AM100" i="3" s="1"/>
  <c r="AH100" i="3"/>
  <c r="AF100" i="3"/>
  <c r="AG100" i="3" s="1"/>
  <c r="AE100" i="3"/>
  <c r="AW99" i="3"/>
  <c r="AV99" i="3"/>
  <c r="AS99" i="3"/>
  <c r="AO99" i="3"/>
  <c r="AL99" i="3"/>
  <c r="AK99" i="3"/>
  <c r="AN99" i="3" s="1"/>
  <c r="AJ99" i="3"/>
  <c r="AI99" i="3"/>
  <c r="AM99" i="3" s="1"/>
  <c r="AH99" i="3"/>
  <c r="AG99" i="3"/>
  <c r="AF99" i="3"/>
  <c r="AE99" i="3"/>
  <c r="AW98" i="3"/>
  <c r="AV98" i="3"/>
  <c r="AS98" i="3"/>
  <c r="AO98" i="3"/>
  <c r="AN98" i="3"/>
  <c r="AL98" i="3"/>
  <c r="AK98" i="3"/>
  <c r="AJ98" i="3"/>
  <c r="AI98" i="3"/>
  <c r="AM98" i="3" s="1"/>
  <c r="AH98" i="3"/>
  <c r="AF98" i="3"/>
  <c r="AG98" i="3" s="1"/>
  <c r="AE98" i="3"/>
  <c r="AW97" i="3"/>
  <c r="AV97" i="3"/>
  <c r="AS97" i="3"/>
  <c r="AO97" i="3"/>
  <c r="AM97" i="3"/>
  <c r="AL97" i="3"/>
  <c r="AK97" i="3"/>
  <c r="AN97" i="3" s="1"/>
  <c r="AJ97" i="3"/>
  <c r="AI97" i="3"/>
  <c r="AH97" i="3"/>
  <c r="AF97" i="3"/>
  <c r="AG97" i="3" s="1"/>
  <c r="AE97" i="3"/>
  <c r="AW96" i="3"/>
  <c r="AV96" i="3"/>
  <c r="AS96" i="3"/>
  <c r="AO96" i="3"/>
  <c r="AN96" i="3"/>
  <c r="AL96" i="3"/>
  <c r="AK96" i="3"/>
  <c r="AJ96" i="3"/>
  <c r="AI96" i="3"/>
  <c r="AM96" i="3" s="1"/>
  <c r="AH96" i="3"/>
  <c r="AF96" i="3"/>
  <c r="AG96" i="3" s="1"/>
  <c r="AE96" i="3"/>
  <c r="AW95" i="3"/>
  <c r="AV95" i="3"/>
  <c r="AS95" i="3"/>
  <c r="AO95" i="3"/>
  <c r="AM95" i="3"/>
  <c r="AL95" i="3"/>
  <c r="AK95" i="3"/>
  <c r="AN95" i="3" s="1"/>
  <c r="AJ95" i="3"/>
  <c r="AI95" i="3"/>
  <c r="AH95" i="3"/>
  <c r="AG95" i="3"/>
  <c r="AF95" i="3"/>
  <c r="AE95" i="3"/>
  <c r="AW94" i="3"/>
  <c r="AV94" i="3"/>
  <c r="AS94" i="3"/>
  <c r="AO94" i="3"/>
  <c r="AM94" i="3"/>
  <c r="AL94" i="3"/>
  <c r="AK94" i="3"/>
  <c r="AN94" i="3" s="1"/>
  <c r="AJ94" i="3"/>
  <c r="AI94" i="3"/>
  <c r="AH94" i="3"/>
  <c r="AF94" i="3"/>
  <c r="AG94" i="3" s="1"/>
  <c r="AE94" i="3"/>
  <c r="AW93" i="3"/>
  <c r="AV93" i="3"/>
  <c r="AS93" i="3"/>
  <c r="AO93" i="3"/>
  <c r="AL93" i="3"/>
  <c r="AK93" i="3"/>
  <c r="AN93" i="3" s="1"/>
  <c r="AJ93" i="3"/>
  <c r="AI93" i="3"/>
  <c r="AM93" i="3" s="1"/>
  <c r="AH93" i="3"/>
  <c r="AG93" i="3"/>
  <c r="AF93" i="3"/>
  <c r="AE93" i="3"/>
  <c r="AW92" i="3"/>
  <c r="AV92" i="3"/>
  <c r="AS92" i="3"/>
  <c r="AO92" i="3"/>
  <c r="AN92" i="3"/>
  <c r="AM92" i="3"/>
  <c r="AL92" i="3"/>
  <c r="AK92" i="3"/>
  <c r="AJ92" i="3"/>
  <c r="AI92" i="3"/>
  <c r="AH92" i="3"/>
  <c r="AF92" i="3"/>
  <c r="AG92" i="3" s="1"/>
  <c r="AE92" i="3"/>
  <c r="AW91" i="3"/>
  <c r="AV91" i="3"/>
  <c r="AS91" i="3"/>
  <c r="AO91" i="3"/>
  <c r="AL91" i="3"/>
  <c r="AK91" i="3"/>
  <c r="AN91" i="3" s="1"/>
  <c r="AJ91" i="3"/>
  <c r="AI91" i="3"/>
  <c r="AM91" i="3" s="1"/>
  <c r="AH91" i="3"/>
  <c r="AG91" i="3"/>
  <c r="AF91" i="3"/>
  <c r="AE91" i="3"/>
  <c r="AW90" i="3"/>
  <c r="AV90" i="3"/>
  <c r="AS90" i="3"/>
  <c r="AO90" i="3"/>
  <c r="AL90" i="3"/>
  <c r="AK90" i="3"/>
  <c r="AN90" i="3" s="1"/>
  <c r="AJ90" i="3"/>
  <c r="AI90" i="3"/>
  <c r="AM90" i="3" s="1"/>
  <c r="AH90" i="3"/>
  <c r="AG90" i="3"/>
  <c r="AF90" i="3"/>
  <c r="AE90" i="3"/>
  <c r="AW89" i="3"/>
  <c r="AV89" i="3"/>
  <c r="AS89" i="3"/>
  <c r="AO89" i="3"/>
  <c r="AM89" i="3"/>
  <c r="AL89" i="3"/>
  <c r="AK89" i="3"/>
  <c r="AN89" i="3" s="1"/>
  <c r="AJ89" i="3"/>
  <c r="AI89" i="3"/>
  <c r="AH89" i="3"/>
  <c r="AG89" i="3"/>
  <c r="AF89" i="3"/>
  <c r="AE89" i="3"/>
  <c r="AW88" i="3"/>
  <c r="AV88" i="3"/>
  <c r="AS88" i="3"/>
  <c r="AO88" i="3"/>
  <c r="AL88" i="3"/>
  <c r="AK88" i="3"/>
  <c r="AN88" i="3" s="1"/>
  <c r="AJ88" i="3"/>
  <c r="AI88" i="3"/>
  <c r="AM88" i="3" s="1"/>
  <c r="AH88" i="3"/>
  <c r="AG88" i="3"/>
  <c r="AF88" i="3"/>
  <c r="AE88" i="3"/>
  <c r="AW87" i="3"/>
  <c r="AV87" i="3"/>
  <c r="AS87" i="3"/>
  <c r="AO87" i="3"/>
  <c r="AN87" i="3"/>
  <c r="AM87" i="3"/>
  <c r="AL87" i="3"/>
  <c r="AK87" i="3"/>
  <c r="AJ87" i="3"/>
  <c r="AI87" i="3"/>
  <c r="AH87" i="3"/>
  <c r="AG87" i="3"/>
  <c r="AF87" i="3"/>
  <c r="AE87" i="3"/>
  <c r="AW86" i="3"/>
  <c r="AV86" i="3"/>
  <c r="AS86" i="3"/>
  <c r="AO86" i="3"/>
  <c r="AN86" i="3"/>
  <c r="AM86" i="3"/>
  <c r="AL86" i="3"/>
  <c r="AK86" i="3"/>
  <c r="AJ86" i="3"/>
  <c r="AI86" i="3"/>
  <c r="AH86" i="3"/>
  <c r="AF86" i="3"/>
  <c r="AG86" i="3" s="1"/>
  <c r="AE86" i="3"/>
  <c r="AW85" i="3"/>
  <c r="AV85" i="3"/>
  <c r="AS85" i="3"/>
  <c r="AO85" i="3"/>
  <c r="AN85" i="3"/>
  <c r="AM85" i="3"/>
  <c r="AL85" i="3"/>
  <c r="AK85" i="3"/>
  <c r="AJ85" i="3"/>
  <c r="AI85" i="3"/>
  <c r="AH85" i="3"/>
  <c r="AF85" i="3"/>
  <c r="AG85" i="3" s="1"/>
  <c r="AE85" i="3"/>
  <c r="AW84" i="3"/>
  <c r="AV84" i="3"/>
  <c r="AS84" i="3"/>
  <c r="AO84" i="3"/>
  <c r="AM84" i="3"/>
  <c r="AL84" i="3"/>
  <c r="AK84" i="3"/>
  <c r="AN84" i="3" s="1"/>
  <c r="AJ84" i="3"/>
  <c r="AI84" i="3"/>
  <c r="AH84" i="3"/>
  <c r="AG84" i="3"/>
  <c r="AF84" i="3"/>
  <c r="AE84" i="3"/>
  <c r="AW83" i="3"/>
  <c r="AV83" i="3"/>
  <c r="AS83" i="3"/>
  <c r="AO83" i="3"/>
  <c r="AL83" i="3"/>
  <c r="AK83" i="3"/>
  <c r="AN83" i="3" s="1"/>
  <c r="AJ83" i="3"/>
  <c r="AI83" i="3"/>
  <c r="AM83" i="3" s="1"/>
  <c r="AH83" i="3"/>
  <c r="AG83" i="3"/>
  <c r="AF83" i="3"/>
  <c r="AE83" i="3"/>
  <c r="AW82" i="3"/>
  <c r="AV82" i="3"/>
  <c r="AS82" i="3"/>
  <c r="AO82" i="3"/>
  <c r="AN82" i="3"/>
  <c r="AL82" i="3"/>
  <c r="AK82" i="3"/>
  <c r="AJ82" i="3"/>
  <c r="AI82" i="3"/>
  <c r="AM82" i="3" s="1"/>
  <c r="AH82" i="3"/>
  <c r="AF82" i="3"/>
  <c r="AG82" i="3" s="1"/>
  <c r="AE82" i="3"/>
  <c r="AW81" i="3"/>
  <c r="AV81" i="3"/>
  <c r="AS81" i="3"/>
  <c r="AO81" i="3"/>
  <c r="AM81" i="3"/>
  <c r="AL81" i="3"/>
  <c r="AK81" i="3"/>
  <c r="AN81" i="3" s="1"/>
  <c r="AJ81" i="3"/>
  <c r="AI81" i="3"/>
  <c r="AH81" i="3"/>
  <c r="AG81" i="3"/>
  <c r="AF81" i="3"/>
  <c r="AE81" i="3"/>
  <c r="AW80" i="3"/>
  <c r="AV80" i="3"/>
  <c r="AS80" i="3"/>
  <c r="AO80" i="3"/>
  <c r="AN80" i="3"/>
  <c r="AM80" i="3"/>
  <c r="AL80" i="3"/>
  <c r="AK80" i="3"/>
  <c r="AJ80" i="3"/>
  <c r="AI80" i="3"/>
  <c r="AH80" i="3"/>
  <c r="AF80" i="3"/>
  <c r="AG80" i="3" s="1"/>
  <c r="AE80" i="3"/>
  <c r="AW79" i="3"/>
  <c r="AV79" i="3"/>
  <c r="AS79" i="3"/>
  <c r="AO79" i="3"/>
  <c r="AL79" i="3"/>
  <c r="AK79" i="3"/>
  <c r="AN79" i="3" s="1"/>
  <c r="AJ79" i="3"/>
  <c r="AI79" i="3"/>
  <c r="AM79" i="3" s="1"/>
  <c r="AH79" i="3"/>
  <c r="AG79" i="3"/>
  <c r="AF79" i="3"/>
  <c r="AE79" i="3"/>
  <c r="AW78" i="3"/>
  <c r="AV78" i="3"/>
  <c r="AS78" i="3"/>
  <c r="AO78" i="3"/>
  <c r="AL78" i="3"/>
  <c r="AK78" i="3"/>
  <c r="AN78" i="3" s="1"/>
  <c r="AJ78" i="3"/>
  <c r="AI78" i="3"/>
  <c r="AM78" i="3" s="1"/>
  <c r="AH78" i="3"/>
  <c r="AF78" i="3"/>
  <c r="AG78" i="3" s="1"/>
  <c r="AE78" i="3"/>
  <c r="AW77" i="3"/>
  <c r="AV77" i="3"/>
  <c r="AS77" i="3"/>
  <c r="AO77" i="3"/>
  <c r="AL77" i="3"/>
  <c r="AK77" i="3"/>
  <c r="AN77" i="3" s="1"/>
  <c r="AJ77" i="3"/>
  <c r="AI77" i="3"/>
  <c r="AM77" i="3" s="1"/>
  <c r="AH77" i="3"/>
  <c r="AG77" i="3"/>
  <c r="AF77" i="3"/>
  <c r="AE77" i="3"/>
  <c r="AW76" i="3"/>
  <c r="AV76" i="3"/>
  <c r="AS76" i="3"/>
  <c r="AO76" i="3"/>
  <c r="AN76" i="3"/>
  <c r="AM76" i="3"/>
  <c r="AL76" i="3"/>
  <c r="AK76" i="3"/>
  <c r="AJ76" i="3"/>
  <c r="AI76" i="3"/>
  <c r="AH76" i="3"/>
  <c r="AG76" i="3"/>
  <c r="AF76" i="3"/>
  <c r="AE76" i="3"/>
  <c r="AW75" i="3"/>
  <c r="AV75" i="3"/>
  <c r="AS75" i="3"/>
  <c r="AO75" i="3"/>
  <c r="AM75" i="3"/>
  <c r="AL75" i="3"/>
  <c r="AK75" i="3"/>
  <c r="AN75" i="3" s="1"/>
  <c r="AJ75" i="3"/>
  <c r="AI75" i="3"/>
  <c r="AH75" i="3"/>
  <c r="AF75" i="3"/>
  <c r="AG75" i="3" s="1"/>
  <c r="AE75" i="3"/>
  <c r="AW74" i="3"/>
  <c r="AV74" i="3"/>
  <c r="AS74" i="3"/>
  <c r="AO74" i="3"/>
  <c r="AM74" i="3"/>
  <c r="AL74" i="3"/>
  <c r="AK74" i="3"/>
  <c r="AN74" i="3" s="1"/>
  <c r="AJ74" i="3"/>
  <c r="AI74" i="3"/>
  <c r="AH74" i="3"/>
  <c r="AG74" i="3"/>
  <c r="AF74" i="3"/>
  <c r="AE74" i="3"/>
  <c r="AW73" i="3"/>
  <c r="AV73" i="3"/>
  <c r="AS73" i="3"/>
  <c r="AO73" i="3"/>
  <c r="AN73" i="3"/>
  <c r="AM73" i="3"/>
  <c r="AL73" i="3"/>
  <c r="AK73" i="3"/>
  <c r="AJ73" i="3"/>
  <c r="AI73" i="3"/>
  <c r="AH73" i="3"/>
  <c r="AF73" i="3"/>
  <c r="AG73" i="3" s="1"/>
  <c r="AE73" i="3"/>
  <c r="AW72" i="3"/>
  <c r="AV72" i="3"/>
  <c r="AS72" i="3"/>
  <c r="AO72" i="3"/>
  <c r="AL72" i="3"/>
  <c r="AK72" i="3"/>
  <c r="AN72" i="3" s="1"/>
  <c r="AJ72" i="3"/>
  <c r="AI72" i="3"/>
  <c r="AM72" i="3" s="1"/>
  <c r="AH72" i="3"/>
  <c r="AG72" i="3"/>
  <c r="AF72" i="3"/>
  <c r="AE72" i="3"/>
  <c r="AW71" i="3"/>
  <c r="AV71" i="3"/>
  <c r="AS71" i="3"/>
  <c r="AO71" i="3"/>
  <c r="AM71" i="3"/>
  <c r="AL71" i="3"/>
  <c r="AK71" i="3"/>
  <c r="AN71" i="3" s="1"/>
  <c r="AJ71" i="3"/>
  <c r="AI71" i="3"/>
  <c r="AH71" i="3"/>
  <c r="AG71" i="3"/>
  <c r="AF71" i="3"/>
  <c r="AE71" i="3"/>
  <c r="AW70" i="3"/>
  <c r="AV70" i="3"/>
  <c r="AS70" i="3"/>
  <c r="AO70" i="3"/>
  <c r="AL70" i="3"/>
  <c r="AK70" i="3"/>
  <c r="AN70" i="3" s="1"/>
  <c r="AJ70" i="3"/>
  <c r="AI70" i="3"/>
  <c r="AM70" i="3" s="1"/>
  <c r="AH70" i="3"/>
  <c r="AF70" i="3"/>
  <c r="AG70" i="3" s="1"/>
  <c r="AE70" i="3"/>
  <c r="AW69" i="3"/>
  <c r="AV69" i="3"/>
  <c r="AS69" i="3"/>
  <c r="AO69" i="3"/>
  <c r="AN69" i="3"/>
  <c r="AL69" i="3"/>
  <c r="AK69" i="3"/>
  <c r="AJ69" i="3"/>
  <c r="AI69" i="3"/>
  <c r="AM69" i="3" s="1"/>
  <c r="AH69" i="3"/>
  <c r="AG69" i="3"/>
  <c r="AF69" i="3"/>
  <c r="AE69" i="3"/>
  <c r="AW68" i="3"/>
  <c r="AV68" i="3"/>
  <c r="AS68" i="3"/>
  <c r="AO68" i="3"/>
  <c r="AN68" i="3"/>
  <c r="AM68" i="3"/>
  <c r="AL68" i="3"/>
  <c r="AK68" i="3"/>
  <c r="AJ68" i="3"/>
  <c r="AI68" i="3"/>
  <c r="AH68" i="3"/>
  <c r="AF68" i="3"/>
  <c r="AG68" i="3" s="1"/>
  <c r="AE68" i="3"/>
  <c r="AW67" i="3"/>
  <c r="AV67" i="3"/>
  <c r="AS67" i="3"/>
  <c r="AO67" i="3"/>
  <c r="AN67" i="3"/>
  <c r="AM67" i="3"/>
  <c r="AL67" i="3"/>
  <c r="AK67" i="3"/>
  <c r="AJ67" i="3"/>
  <c r="AI67" i="3"/>
  <c r="AH67" i="3"/>
  <c r="AF67" i="3"/>
  <c r="AG67" i="3" s="1"/>
  <c r="AE67" i="3"/>
  <c r="AW66" i="3"/>
  <c r="AV66" i="3"/>
  <c r="AS66" i="3"/>
  <c r="AO66" i="3"/>
  <c r="AN66" i="3"/>
  <c r="AM66" i="3"/>
  <c r="AL66" i="3"/>
  <c r="AK66" i="3"/>
  <c r="AJ66" i="3"/>
  <c r="AI66" i="3"/>
  <c r="AH66" i="3"/>
  <c r="AF66" i="3"/>
  <c r="AG66" i="3" s="1"/>
  <c r="AE66" i="3"/>
  <c r="AW65" i="3"/>
  <c r="AV65" i="3"/>
  <c r="AS65" i="3"/>
  <c r="AO65" i="3"/>
  <c r="AM65" i="3"/>
  <c r="AL65" i="3"/>
  <c r="AK65" i="3"/>
  <c r="AN65" i="3" s="1"/>
  <c r="AJ65" i="3"/>
  <c r="AI65" i="3"/>
  <c r="AH65" i="3"/>
  <c r="AG65" i="3"/>
  <c r="AF65" i="3"/>
  <c r="AE65" i="3"/>
  <c r="AW64" i="3"/>
  <c r="AV64" i="3"/>
  <c r="AS64" i="3"/>
  <c r="AO64" i="3"/>
  <c r="AL64" i="3"/>
  <c r="AK64" i="3"/>
  <c r="AN64" i="3" s="1"/>
  <c r="AJ64" i="3"/>
  <c r="AI64" i="3"/>
  <c r="AM64" i="3" s="1"/>
  <c r="AH64" i="3"/>
  <c r="AF64" i="3"/>
  <c r="AG64" i="3" s="1"/>
  <c r="AE64" i="3"/>
  <c r="AW63" i="3"/>
  <c r="AV63" i="3"/>
  <c r="AS63" i="3"/>
  <c r="X7" i="5" s="1"/>
  <c r="AO63" i="3"/>
  <c r="AN63" i="3"/>
  <c r="AM63" i="3"/>
  <c r="AL63" i="3"/>
  <c r="AK63" i="3"/>
  <c r="AJ63" i="3"/>
  <c r="AI63" i="3"/>
  <c r="AH63" i="3"/>
  <c r="AF63" i="3"/>
  <c r="AG63" i="3" s="1"/>
  <c r="AE63" i="3"/>
  <c r="AW62" i="3"/>
  <c r="AV62" i="3"/>
  <c r="AS62" i="3"/>
  <c r="AO62" i="3"/>
  <c r="AM62" i="3"/>
  <c r="AL62" i="3"/>
  <c r="AK62" i="3"/>
  <c r="AJ62" i="3"/>
  <c r="AI62" i="3"/>
  <c r="AH62" i="3"/>
  <c r="AG62" i="3"/>
  <c r="AF62" i="3"/>
  <c r="AE62" i="3"/>
  <c r="AW61" i="3"/>
  <c r="AV61" i="3"/>
  <c r="AT61" i="3"/>
  <c r="AS61" i="3"/>
  <c r="AO61" i="3"/>
  <c r="AN61" i="3"/>
  <c r="AM61" i="3"/>
  <c r="AL61" i="3"/>
  <c r="AK61" i="3"/>
  <c r="AJ61" i="3"/>
  <c r="AI61" i="3"/>
  <c r="AH61" i="3"/>
  <c r="AF61" i="3"/>
  <c r="AG61" i="3" s="1"/>
  <c r="AE61" i="3"/>
  <c r="AW60" i="3"/>
  <c r="AV60" i="3"/>
  <c r="AS60" i="3"/>
  <c r="AO60" i="3"/>
  <c r="AM60" i="3"/>
  <c r="AL60" i="3"/>
  <c r="AK60" i="3"/>
  <c r="AN60" i="3" s="1"/>
  <c r="AJ60" i="3"/>
  <c r="AI60" i="3"/>
  <c r="AH60" i="3"/>
  <c r="AG60" i="3"/>
  <c r="AF60" i="3"/>
  <c r="AE60" i="3"/>
  <c r="AW59" i="3"/>
  <c r="AV59" i="3"/>
  <c r="AS59" i="3"/>
  <c r="AO59" i="3"/>
  <c r="AL59" i="3"/>
  <c r="AK59" i="3"/>
  <c r="AN59" i="3" s="1"/>
  <c r="AJ59" i="3"/>
  <c r="AI59" i="3"/>
  <c r="AM59" i="3" s="1"/>
  <c r="AH59" i="3"/>
  <c r="AF59" i="3"/>
  <c r="AG59" i="3" s="1"/>
  <c r="AE59" i="3"/>
  <c r="AW58" i="3"/>
  <c r="AV58" i="3"/>
  <c r="AS58" i="3"/>
  <c r="AO58" i="3"/>
  <c r="AN58" i="3"/>
  <c r="AL58" i="3"/>
  <c r="AK58" i="3"/>
  <c r="AJ58" i="3"/>
  <c r="AI58" i="3"/>
  <c r="AM58" i="3" s="1"/>
  <c r="AH58" i="3"/>
  <c r="AF58" i="3"/>
  <c r="AG58" i="3" s="1"/>
  <c r="AE58" i="3"/>
  <c r="AW57" i="3"/>
  <c r="AV57" i="3"/>
  <c r="AS57" i="3"/>
  <c r="AO57" i="3"/>
  <c r="AN57" i="3"/>
  <c r="AM57" i="3"/>
  <c r="AL57" i="3"/>
  <c r="AK57" i="3"/>
  <c r="AJ57" i="3"/>
  <c r="AI57" i="3"/>
  <c r="AH57" i="3"/>
  <c r="AG57" i="3"/>
  <c r="AF57" i="3"/>
  <c r="AE57" i="3"/>
  <c r="AW56" i="3"/>
  <c r="AV56" i="3"/>
  <c r="AS56" i="3"/>
  <c r="AO56" i="3"/>
  <c r="AM56" i="3"/>
  <c r="AL56" i="3"/>
  <c r="AK56" i="3"/>
  <c r="AN56" i="3" s="1"/>
  <c r="AJ56" i="3"/>
  <c r="AI56" i="3"/>
  <c r="AH56" i="3"/>
  <c r="AF56" i="3"/>
  <c r="AG56" i="3" s="1"/>
  <c r="AE56" i="3"/>
  <c r="AW55" i="3"/>
  <c r="AV55" i="3"/>
  <c r="AS55" i="3"/>
  <c r="AO55" i="3"/>
  <c r="AN55" i="3"/>
  <c r="AM55" i="3"/>
  <c r="AL55" i="3"/>
  <c r="AK55" i="3"/>
  <c r="AJ55" i="3"/>
  <c r="AI55" i="3"/>
  <c r="AH55" i="3"/>
  <c r="AG55" i="3"/>
  <c r="AF55" i="3"/>
  <c r="AE55" i="3"/>
  <c r="AW54" i="3"/>
  <c r="AV54" i="3"/>
  <c r="AS54" i="3"/>
  <c r="AO54" i="3"/>
  <c r="AL54" i="3"/>
  <c r="AK54" i="3"/>
  <c r="AN54" i="3" s="1"/>
  <c r="AJ54" i="3"/>
  <c r="AI54" i="3"/>
  <c r="AM54" i="3" s="1"/>
  <c r="AH54" i="3"/>
  <c r="AG54" i="3"/>
  <c r="AF54" i="3"/>
  <c r="AE54" i="3"/>
  <c r="AW53" i="3"/>
  <c r="AV53" i="3"/>
  <c r="AS53" i="3"/>
  <c r="AO53" i="3"/>
  <c r="AL53" i="3"/>
  <c r="AK53" i="3"/>
  <c r="AN53" i="3" s="1"/>
  <c r="AJ53" i="3"/>
  <c r="AI53" i="3"/>
  <c r="AM53" i="3" s="1"/>
  <c r="AH53" i="3"/>
  <c r="AF53" i="3"/>
  <c r="AG53" i="3" s="1"/>
  <c r="AE53" i="3"/>
  <c r="AW52" i="3"/>
  <c r="AV52" i="3"/>
  <c r="AS52" i="3"/>
  <c r="AO52" i="3"/>
  <c r="AN52" i="3"/>
  <c r="AM52" i="3"/>
  <c r="AL52" i="3"/>
  <c r="AK52" i="3"/>
  <c r="AJ52" i="3"/>
  <c r="AI52" i="3"/>
  <c r="AH52" i="3"/>
  <c r="AG52" i="3"/>
  <c r="AF52" i="3"/>
  <c r="AE52" i="3"/>
  <c r="AW51" i="3"/>
  <c r="AV51" i="3"/>
  <c r="AS51" i="3"/>
  <c r="AO51" i="3"/>
  <c r="AN51" i="3"/>
  <c r="AM51" i="3"/>
  <c r="AL51" i="3"/>
  <c r="AK51" i="3"/>
  <c r="AJ51" i="3"/>
  <c r="AI51" i="3"/>
  <c r="AH51" i="3"/>
  <c r="AF51" i="3"/>
  <c r="AG51" i="3" s="1"/>
  <c r="AE51" i="3"/>
  <c r="AW50" i="3"/>
  <c r="AV50" i="3"/>
  <c r="AS50" i="3"/>
  <c r="AO50" i="3"/>
  <c r="AM50" i="3"/>
  <c r="AL50" i="3"/>
  <c r="AK50" i="3"/>
  <c r="AN50" i="3" s="1"/>
  <c r="AJ50" i="3"/>
  <c r="AI50" i="3"/>
  <c r="AH50" i="3"/>
  <c r="AG50" i="3"/>
  <c r="AF50" i="3"/>
  <c r="AE50" i="3"/>
  <c r="AW49" i="3"/>
  <c r="AV49" i="3"/>
  <c r="AS49" i="3"/>
  <c r="AO49" i="3"/>
  <c r="AL49" i="3"/>
  <c r="AK49" i="3"/>
  <c r="AN49" i="3" s="1"/>
  <c r="AJ49" i="3"/>
  <c r="AI49" i="3"/>
  <c r="AM49" i="3" s="1"/>
  <c r="AH49" i="3"/>
  <c r="AG49" i="3"/>
  <c r="AF49" i="3"/>
  <c r="AE49" i="3"/>
  <c r="AW48" i="3"/>
  <c r="AV48" i="3"/>
  <c r="AT48" i="3"/>
  <c r="AS48" i="3"/>
  <c r="AO48" i="3"/>
  <c r="AL48" i="3"/>
  <c r="AK48" i="3"/>
  <c r="AN48" i="3" s="1"/>
  <c r="AJ48" i="3"/>
  <c r="AI48" i="3"/>
  <c r="AM48" i="3" s="1"/>
  <c r="AH48" i="3"/>
  <c r="AG48" i="3"/>
  <c r="AF48" i="3"/>
  <c r="AE48" i="3"/>
  <c r="AW47" i="3"/>
  <c r="AV47" i="3"/>
  <c r="AS47" i="3"/>
  <c r="AO47" i="3"/>
  <c r="AN47" i="3"/>
  <c r="AL47" i="3"/>
  <c r="AK47" i="3"/>
  <c r="AJ47" i="3"/>
  <c r="AI47" i="3"/>
  <c r="AM47" i="3" s="1"/>
  <c r="AH47" i="3"/>
  <c r="AF47" i="3"/>
  <c r="AG47" i="3" s="1"/>
  <c r="AE47" i="3"/>
  <c r="AW46" i="3"/>
  <c r="AV46" i="3"/>
  <c r="AS46" i="3"/>
  <c r="AO46" i="3"/>
  <c r="AN46" i="3"/>
  <c r="AL46" i="3"/>
  <c r="AK46" i="3"/>
  <c r="AJ46" i="3"/>
  <c r="AI46" i="3"/>
  <c r="AM46" i="3" s="1"/>
  <c r="AH46" i="3"/>
  <c r="AG46" i="3"/>
  <c r="AF46" i="3"/>
  <c r="AE46" i="3"/>
  <c r="AW45" i="3"/>
  <c r="AV45" i="3"/>
  <c r="AS45" i="3"/>
  <c r="AO45" i="3"/>
  <c r="AN45" i="3"/>
  <c r="AM45" i="3"/>
  <c r="AL45" i="3"/>
  <c r="AK45" i="3"/>
  <c r="AJ45" i="3"/>
  <c r="AI45" i="3"/>
  <c r="AH45" i="3"/>
  <c r="AG45" i="3"/>
  <c r="AF45" i="3"/>
  <c r="AE45" i="3"/>
  <c r="AW44" i="3"/>
  <c r="AV44" i="3"/>
  <c r="AS44" i="3"/>
  <c r="AO44" i="3"/>
  <c r="AM44" i="3"/>
  <c r="AL44" i="3"/>
  <c r="AK44" i="3"/>
  <c r="AN44" i="3" s="1"/>
  <c r="AJ44" i="3"/>
  <c r="AI44" i="3"/>
  <c r="AH44" i="3"/>
  <c r="AF44" i="3"/>
  <c r="AG44" i="3" s="1"/>
  <c r="AE44" i="3"/>
  <c r="AW43" i="3"/>
  <c r="AV43" i="3"/>
  <c r="AS43" i="3"/>
  <c r="AO43" i="3"/>
  <c r="AM43" i="3"/>
  <c r="AL43" i="3"/>
  <c r="AK43" i="3"/>
  <c r="AN43" i="3" s="1"/>
  <c r="AJ43" i="3"/>
  <c r="AI43" i="3"/>
  <c r="AH43" i="3"/>
  <c r="AF43" i="3"/>
  <c r="AG43" i="3" s="1"/>
  <c r="AE43" i="3"/>
  <c r="AW42" i="3"/>
  <c r="AV42" i="3"/>
  <c r="AT42" i="3"/>
  <c r="AS42" i="3"/>
  <c r="AO42" i="3"/>
  <c r="AN42" i="3"/>
  <c r="AM42" i="3"/>
  <c r="AL42" i="3"/>
  <c r="AK42" i="3"/>
  <c r="AJ42" i="3"/>
  <c r="AI42" i="3"/>
  <c r="AH42" i="3"/>
  <c r="AG42" i="3"/>
  <c r="AF42" i="3"/>
  <c r="AE42" i="3"/>
  <c r="AW41" i="3"/>
  <c r="AV41" i="3"/>
  <c r="AS41" i="3"/>
  <c r="AO41" i="3"/>
  <c r="AM41" i="3"/>
  <c r="AL41" i="3"/>
  <c r="AK41" i="3"/>
  <c r="AN41" i="3" s="1"/>
  <c r="AJ41" i="3"/>
  <c r="AI41" i="3"/>
  <c r="AH41" i="3"/>
  <c r="AG41" i="3"/>
  <c r="AF41" i="3"/>
  <c r="AE41" i="3"/>
  <c r="AW40" i="3"/>
  <c r="AV40" i="3"/>
  <c r="AT40" i="3"/>
  <c r="AS40" i="3"/>
  <c r="AO40" i="3"/>
  <c r="AL40" i="3"/>
  <c r="AK40" i="3"/>
  <c r="AN40" i="3" s="1"/>
  <c r="AJ40" i="3"/>
  <c r="AI40" i="3"/>
  <c r="AM40" i="3" s="1"/>
  <c r="AH40" i="3"/>
  <c r="AG40" i="3"/>
  <c r="AF40" i="3"/>
  <c r="AE40" i="3"/>
  <c r="AW39" i="3"/>
  <c r="AV39" i="3"/>
  <c r="AS39" i="3"/>
  <c r="AO39" i="3"/>
  <c r="AL39" i="3"/>
  <c r="AK39" i="3"/>
  <c r="AN39" i="3" s="1"/>
  <c r="AJ39" i="3"/>
  <c r="AI39" i="3"/>
  <c r="AM39" i="3" s="1"/>
  <c r="AH39" i="3"/>
  <c r="AF39" i="3"/>
  <c r="AG39" i="3" s="1"/>
  <c r="AE39" i="3"/>
  <c r="AW38" i="3"/>
  <c r="AV38" i="3"/>
  <c r="AS38" i="3"/>
  <c r="AO38" i="3"/>
  <c r="AL38" i="3"/>
  <c r="AK38" i="3"/>
  <c r="AN38" i="3" s="1"/>
  <c r="AJ38" i="3"/>
  <c r="AI38" i="3"/>
  <c r="AM38" i="3" s="1"/>
  <c r="AH38" i="3"/>
  <c r="AF38" i="3"/>
  <c r="AG38" i="3" s="1"/>
  <c r="AE38" i="3"/>
  <c r="AW37" i="3"/>
  <c r="AV37" i="3"/>
  <c r="AS37" i="3"/>
  <c r="AO37" i="3"/>
  <c r="AN37" i="3"/>
  <c r="AL37" i="3"/>
  <c r="AK37" i="3"/>
  <c r="AJ37" i="3"/>
  <c r="AI37" i="3"/>
  <c r="AM37" i="3" s="1"/>
  <c r="AH37" i="3"/>
  <c r="AF37" i="3"/>
  <c r="AG37" i="3" s="1"/>
  <c r="AE37" i="3"/>
  <c r="AW36" i="3"/>
  <c r="AV36" i="3"/>
  <c r="AS36" i="3"/>
  <c r="AP36" i="3"/>
  <c r="AQ36" i="3" s="1"/>
  <c r="AR36" i="3" s="1"/>
  <c r="AO36" i="3"/>
  <c r="AN36" i="3"/>
  <c r="AL36" i="3"/>
  <c r="AK36" i="3"/>
  <c r="AJ36" i="3"/>
  <c r="AI36" i="3"/>
  <c r="AM36" i="3" s="1"/>
  <c r="AH36" i="3"/>
  <c r="AF36" i="3"/>
  <c r="AG36" i="3" s="1"/>
  <c r="AE36" i="3"/>
  <c r="AW35" i="3"/>
  <c r="AV35" i="3"/>
  <c r="AS35" i="3"/>
  <c r="AO35" i="3"/>
  <c r="AN35" i="3"/>
  <c r="AM35" i="3"/>
  <c r="AL35" i="3"/>
  <c r="AK35" i="3"/>
  <c r="AJ35" i="3"/>
  <c r="AI35" i="3"/>
  <c r="AH35" i="3"/>
  <c r="AF35" i="3"/>
  <c r="AG35" i="3" s="1"/>
  <c r="AE35" i="3"/>
  <c r="AW34" i="3"/>
  <c r="AV34" i="3"/>
  <c r="AS34" i="3"/>
  <c r="AO34" i="3"/>
  <c r="AM34" i="3"/>
  <c r="AL34" i="3"/>
  <c r="AK34" i="3"/>
  <c r="AN34" i="3" s="1"/>
  <c r="AJ34" i="3"/>
  <c r="AI34" i="3"/>
  <c r="AH34" i="3"/>
  <c r="AG34" i="3"/>
  <c r="AF34" i="3"/>
  <c r="AE34" i="3"/>
  <c r="AW33" i="3"/>
  <c r="AV33" i="3"/>
  <c r="AS33" i="3"/>
  <c r="AO33" i="3"/>
  <c r="AM33" i="3"/>
  <c r="AL33" i="3"/>
  <c r="AK33" i="3"/>
  <c r="AN33" i="3" s="1"/>
  <c r="AJ33" i="3"/>
  <c r="AI33" i="3"/>
  <c r="AH33" i="3"/>
  <c r="AF33" i="3"/>
  <c r="AG33" i="3" s="1"/>
  <c r="AE33" i="3"/>
  <c r="AW32" i="3"/>
  <c r="AV32" i="3"/>
  <c r="AS32" i="3"/>
  <c r="AO32" i="3"/>
  <c r="U6" i="5" s="1"/>
  <c r="AN32" i="3"/>
  <c r="AM32" i="3"/>
  <c r="AL32" i="3"/>
  <c r="AK32" i="3"/>
  <c r="AJ32" i="3"/>
  <c r="AI32" i="3"/>
  <c r="AH32" i="3"/>
  <c r="AG32" i="3"/>
  <c r="AF32" i="3"/>
  <c r="AE32" i="3"/>
  <c r="AW31" i="3"/>
  <c r="AV31" i="3"/>
  <c r="F28" i="7" s="1"/>
  <c r="AS31" i="3"/>
  <c r="AO31" i="3"/>
  <c r="AM31" i="3"/>
  <c r="AL31" i="3"/>
  <c r="AK31" i="3"/>
  <c r="AN31" i="3" s="1"/>
  <c r="AJ31" i="3"/>
  <c r="AI31" i="3"/>
  <c r="AH31" i="3"/>
  <c r="AF31" i="3"/>
  <c r="AG31" i="3" s="1"/>
  <c r="AE31" i="3"/>
  <c r="AW30" i="3"/>
  <c r="AV30" i="3"/>
  <c r="AS30" i="3"/>
  <c r="AO30" i="3"/>
  <c r="AL30" i="3"/>
  <c r="AK30" i="3"/>
  <c r="AN30" i="3" s="1"/>
  <c r="AJ30" i="3"/>
  <c r="AI30" i="3"/>
  <c r="AM30" i="3" s="1"/>
  <c r="AH30" i="3"/>
  <c r="AF30" i="3"/>
  <c r="AG30" i="3" s="1"/>
  <c r="AE30" i="3"/>
  <c r="AW29" i="3"/>
  <c r="AV29" i="3"/>
  <c r="AS29" i="3"/>
  <c r="AO29" i="3"/>
  <c r="AN29" i="3"/>
  <c r="AL29" i="3"/>
  <c r="AK29" i="3"/>
  <c r="AJ29" i="3"/>
  <c r="AI29" i="3"/>
  <c r="AM29" i="3" s="1"/>
  <c r="AH29" i="3"/>
  <c r="AF29" i="3"/>
  <c r="AG29" i="3" s="1"/>
  <c r="AE29" i="3"/>
  <c r="AW28" i="3"/>
  <c r="AV28" i="3"/>
  <c r="AS28" i="3"/>
  <c r="AO28" i="3"/>
  <c r="AM28" i="3"/>
  <c r="AL28" i="3"/>
  <c r="AK28" i="3"/>
  <c r="AN28" i="3" s="1"/>
  <c r="AJ28" i="3"/>
  <c r="AI28" i="3"/>
  <c r="AH28" i="3"/>
  <c r="AF28" i="3"/>
  <c r="AG28" i="3" s="1"/>
  <c r="AE28" i="3"/>
  <c r="AW27" i="3"/>
  <c r="AV27" i="3"/>
  <c r="AS27" i="3"/>
  <c r="AO27" i="3"/>
  <c r="AN27" i="3"/>
  <c r="AM27" i="3"/>
  <c r="AL27" i="3"/>
  <c r="R10" i="4" s="1"/>
  <c r="AK27" i="3"/>
  <c r="AJ27" i="3"/>
  <c r="AI27" i="3"/>
  <c r="AH27" i="3"/>
  <c r="AF27" i="3"/>
  <c r="AG27" i="3" s="1"/>
  <c r="AE27" i="3"/>
  <c r="AW26" i="3"/>
  <c r="AV26" i="3"/>
  <c r="F27" i="7" s="1"/>
  <c r="AT26" i="3"/>
  <c r="AS26" i="3"/>
  <c r="AO26" i="3"/>
  <c r="AL26" i="3"/>
  <c r="AK26" i="3"/>
  <c r="AN26" i="3" s="1"/>
  <c r="AJ26" i="3"/>
  <c r="AI26" i="3"/>
  <c r="AM26" i="3" s="1"/>
  <c r="AH26" i="3"/>
  <c r="AG26" i="3"/>
  <c r="AF26" i="3"/>
  <c r="AE26" i="3"/>
  <c r="AW25" i="3"/>
  <c r="AV25" i="3"/>
  <c r="AS25" i="3"/>
  <c r="AO25" i="3"/>
  <c r="AM25" i="3"/>
  <c r="AL25" i="3"/>
  <c r="AK25" i="3"/>
  <c r="AN25" i="3" s="1"/>
  <c r="AJ25" i="3"/>
  <c r="AI25" i="3"/>
  <c r="AH25" i="3"/>
  <c r="AF25" i="3"/>
  <c r="AG25" i="3" s="1"/>
  <c r="AE25" i="3"/>
  <c r="AW24" i="3"/>
  <c r="AV24" i="3"/>
  <c r="D27" i="7" s="1"/>
  <c r="AU24" i="3"/>
  <c r="AS24" i="3"/>
  <c r="AO24" i="3"/>
  <c r="AL24" i="3"/>
  <c r="AK24" i="3"/>
  <c r="AN24" i="3" s="1"/>
  <c r="AJ24" i="3"/>
  <c r="AI24" i="3"/>
  <c r="AM24" i="3" s="1"/>
  <c r="AH24" i="3"/>
  <c r="AG24" i="3"/>
  <c r="AF24" i="3"/>
  <c r="AE24" i="3"/>
  <c r="AW23" i="3"/>
  <c r="AV23" i="3"/>
  <c r="AS23" i="3"/>
  <c r="AO23" i="3"/>
  <c r="AL23" i="3"/>
  <c r="AK23" i="3"/>
  <c r="AN23" i="3" s="1"/>
  <c r="AJ23" i="3"/>
  <c r="AI23" i="3"/>
  <c r="AM23" i="3" s="1"/>
  <c r="AH23" i="3"/>
  <c r="AF23" i="3"/>
  <c r="AG23" i="3" s="1"/>
  <c r="AE23" i="3"/>
  <c r="AW22" i="3"/>
  <c r="AV22" i="3"/>
  <c r="AS22" i="3"/>
  <c r="AO22" i="3"/>
  <c r="AL22" i="3"/>
  <c r="AK22" i="3"/>
  <c r="AJ22" i="3"/>
  <c r="AI22" i="3"/>
  <c r="AH22" i="3"/>
  <c r="AF22" i="3"/>
  <c r="AG22" i="3" s="1"/>
  <c r="F9" i="4" s="1"/>
  <c r="AE22" i="3"/>
  <c r="AW21" i="3"/>
  <c r="AV21" i="3"/>
  <c r="AS21" i="3"/>
  <c r="X8" i="4" s="1"/>
  <c r="AO21" i="3"/>
  <c r="AN21" i="3"/>
  <c r="AL21" i="3"/>
  <c r="AK21" i="3"/>
  <c r="AJ21" i="3"/>
  <c r="AI21" i="3"/>
  <c r="AM21" i="3" s="1"/>
  <c r="AH21" i="3"/>
  <c r="AG21" i="3"/>
  <c r="AF21" i="3"/>
  <c r="AE21" i="3"/>
  <c r="AW20" i="3"/>
  <c r="AV20" i="3"/>
  <c r="AS20" i="3"/>
  <c r="AO20" i="3"/>
  <c r="AN20" i="3"/>
  <c r="AM20" i="3"/>
  <c r="AL20" i="3"/>
  <c r="AK20" i="3"/>
  <c r="AJ20" i="3"/>
  <c r="AI20" i="3"/>
  <c r="AH20" i="3"/>
  <c r="AF20" i="3"/>
  <c r="AG20" i="3" s="1"/>
  <c r="AE20" i="3"/>
  <c r="AW19" i="3"/>
  <c r="AV19" i="3"/>
  <c r="AS19" i="3"/>
  <c r="AO19" i="3"/>
  <c r="AN19" i="3"/>
  <c r="AM19" i="3"/>
  <c r="AL19" i="3"/>
  <c r="AK19" i="3"/>
  <c r="AJ19" i="3"/>
  <c r="AI19" i="3"/>
  <c r="AH19" i="3"/>
  <c r="AF19" i="3"/>
  <c r="AG19" i="3" s="1"/>
  <c r="AE19" i="3"/>
  <c r="AW18" i="3"/>
  <c r="AV18" i="3"/>
  <c r="C26" i="7" s="1"/>
  <c r="AS18" i="3"/>
  <c r="AP18" i="3"/>
  <c r="AQ18" i="3" s="1"/>
  <c r="AR18" i="3" s="1"/>
  <c r="AO18" i="3"/>
  <c r="AM18" i="3"/>
  <c r="AL18" i="3"/>
  <c r="AK18" i="3"/>
  <c r="AN18" i="3" s="1"/>
  <c r="AJ18" i="3"/>
  <c r="AI18" i="3"/>
  <c r="AH18" i="3"/>
  <c r="AF18" i="3"/>
  <c r="AG18" i="3" s="1"/>
  <c r="AE18" i="3"/>
  <c r="AW17" i="3"/>
  <c r="AV17" i="3"/>
  <c r="B26" i="7" s="1"/>
  <c r="AS17" i="3"/>
  <c r="AO17" i="3"/>
  <c r="AM17" i="3"/>
  <c r="AL17" i="3"/>
  <c r="R8" i="4" s="1"/>
  <c r="AK17" i="3"/>
  <c r="Q8" i="4" s="1"/>
  <c r="AJ17" i="3"/>
  <c r="AI17" i="3"/>
  <c r="AH17" i="3"/>
  <c r="AF17" i="3"/>
  <c r="AG17" i="3" s="1"/>
  <c r="AE17" i="3"/>
  <c r="AW16" i="3"/>
  <c r="AV16" i="3"/>
  <c r="F25" i="7" s="1"/>
  <c r="AT16" i="3"/>
  <c r="AS16" i="3"/>
  <c r="AO16" i="3"/>
  <c r="AL16" i="3"/>
  <c r="AK16" i="3"/>
  <c r="AN16" i="3" s="1"/>
  <c r="AJ16" i="3"/>
  <c r="AI16" i="3"/>
  <c r="AM16" i="3" s="1"/>
  <c r="AH16" i="3"/>
  <c r="AG16" i="3"/>
  <c r="AF16" i="3"/>
  <c r="AE16" i="3"/>
  <c r="AW15" i="3"/>
  <c r="AV15" i="3"/>
  <c r="AT15" i="3"/>
  <c r="AS15" i="3"/>
  <c r="AO15" i="3"/>
  <c r="AM15" i="3"/>
  <c r="AL15" i="3"/>
  <c r="AK15" i="3"/>
  <c r="AN15" i="3" s="1"/>
  <c r="AJ15" i="3"/>
  <c r="AI15" i="3"/>
  <c r="AH15" i="3"/>
  <c r="AF15" i="3"/>
  <c r="AG15" i="3" s="1"/>
  <c r="AE15" i="3"/>
  <c r="AW14" i="3"/>
  <c r="AV14" i="3"/>
  <c r="D25" i="7" s="1"/>
  <c r="AU14" i="3"/>
  <c r="AT14" i="3"/>
  <c r="AS14" i="3"/>
  <c r="AO14" i="3"/>
  <c r="AL14" i="3"/>
  <c r="AK14" i="3"/>
  <c r="AN14" i="3" s="1"/>
  <c r="AJ14" i="3"/>
  <c r="AI14" i="3"/>
  <c r="AM14" i="3" s="1"/>
  <c r="AH14" i="3"/>
  <c r="AG14" i="3"/>
  <c r="AF14" i="3"/>
  <c r="AE14" i="3"/>
  <c r="AW13" i="3"/>
  <c r="AV13" i="3"/>
  <c r="AU13" i="3"/>
  <c r="AS13" i="3"/>
  <c r="AP13" i="3"/>
  <c r="AQ13" i="3" s="1"/>
  <c r="AR13" i="3" s="1"/>
  <c r="AO13" i="3"/>
  <c r="AL13" i="3"/>
  <c r="AK13" i="3"/>
  <c r="AJ13" i="3"/>
  <c r="AI13" i="3"/>
  <c r="AM13" i="3" s="1"/>
  <c r="AH13" i="3"/>
  <c r="AF13" i="3"/>
  <c r="AG13" i="3" s="1"/>
  <c r="AE13" i="3"/>
  <c r="AW12" i="3"/>
  <c r="AV12" i="3"/>
  <c r="AS12" i="3"/>
  <c r="AO12" i="3"/>
  <c r="U7" i="4" s="1"/>
  <c r="AL12" i="3"/>
  <c r="AK12" i="3"/>
  <c r="AN12" i="3" s="1"/>
  <c r="AJ12" i="3"/>
  <c r="P7" i="4" s="1"/>
  <c r="AI12" i="3"/>
  <c r="AH12" i="3"/>
  <c r="AF12" i="3"/>
  <c r="AG12" i="3" s="1"/>
  <c r="F7" i="4" s="1"/>
  <c r="AE12" i="3"/>
  <c r="AW11" i="3"/>
  <c r="AV11" i="3"/>
  <c r="AS11" i="3"/>
  <c r="AO11" i="3"/>
  <c r="AN11" i="3"/>
  <c r="AL11" i="3"/>
  <c r="AK11" i="3"/>
  <c r="AJ11" i="3"/>
  <c r="AI11" i="3"/>
  <c r="AM11" i="3" s="1"/>
  <c r="AH11" i="3"/>
  <c r="AF11" i="3"/>
  <c r="AG11" i="3" s="1"/>
  <c r="F9" i="6" s="1"/>
  <c r="AE11" i="3"/>
  <c r="AW10" i="3"/>
  <c r="AV10" i="3"/>
  <c r="AS10" i="3"/>
  <c r="AO10" i="3"/>
  <c r="AN10" i="3"/>
  <c r="AM10" i="3"/>
  <c r="AL10" i="3"/>
  <c r="AK10" i="3"/>
  <c r="AJ10" i="3"/>
  <c r="AI10" i="3"/>
  <c r="AH10" i="3"/>
  <c r="AG10" i="3"/>
  <c r="AF10" i="3"/>
  <c r="AE10" i="3"/>
  <c r="AW9" i="3"/>
  <c r="AV9" i="3"/>
  <c r="D24" i="7" s="1"/>
  <c r="AS9" i="3"/>
  <c r="AO9" i="3"/>
  <c r="AN9" i="3"/>
  <c r="AM9" i="3"/>
  <c r="AL9" i="3"/>
  <c r="AK9" i="3"/>
  <c r="AJ9" i="3"/>
  <c r="AI9" i="3"/>
  <c r="AH9" i="3"/>
  <c r="AF9" i="3"/>
  <c r="AG9" i="3" s="1"/>
  <c r="AE9" i="3"/>
  <c r="AW8" i="3"/>
  <c r="AV8" i="3"/>
  <c r="C24" i="7" s="1"/>
  <c r="AS8" i="3"/>
  <c r="AO8" i="3"/>
  <c r="AM8" i="3"/>
  <c r="AL8" i="3"/>
  <c r="AK8" i="3"/>
  <c r="AN8" i="3" s="1"/>
  <c r="AJ8" i="3"/>
  <c r="AI8" i="3"/>
  <c r="AH8" i="3"/>
  <c r="AF8" i="3"/>
  <c r="AG8" i="3" s="1"/>
  <c r="AE8" i="3"/>
  <c r="AW7" i="3"/>
  <c r="AV7" i="3"/>
  <c r="AS7" i="3"/>
  <c r="AO7" i="3"/>
  <c r="AM7" i="3"/>
  <c r="AL7" i="3"/>
  <c r="R6" i="4" s="1"/>
  <c r="AK7" i="3"/>
  <c r="AJ7" i="3"/>
  <c r="P6" i="4" s="1"/>
  <c r="AI7" i="3"/>
  <c r="AH7" i="3"/>
  <c r="AF7" i="3"/>
  <c r="AG7" i="3" s="1"/>
  <c r="AE7" i="3"/>
  <c r="AW6" i="3"/>
  <c r="AV6" i="3"/>
  <c r="AT6" i="3"/>
  <c r="AS6" i="3"/>
  <c r="X9" i="6" s="1"/>
  <c r="AO6" i="3"/>
  <c r="AL6" i="3"/>
  <c r="AK6" i="3"/>
  <c r="AJ6" i="3"/>
  <c r="AI6" i="3"/>
  <c r="O9" i="6" s="1"/>
  <c r="AH6" i="3"/>
  <c r="AG6" i="3"/>
  <c r="AF6" i="3"/>
  <c r="AE6" i="3"/>
  <c r="AW5" i="3"/>
  <c r="AV5" i="3"/>
  <c r="AT5" i="3"/>
  <c r="AS5" i="3"/>
  <c r="X8" i="6" s="1"/>
  <c r="AO5" i="3"/>
  <c r="AM5" i="3"/>
  <c r="AL5" i="3"/>
  <c r="AK5" i="3"/>
  <c r="AJ5" i="3"/>
  <c r="AI5" i="3"/>
  <c r="O8" i="6" s="1"/>
  <c r="AH5" i="3"/>
  <c r="AG5" i="3"/>
  <c r="AF5" i="3"/>
  <c r="AE5" i="3"/>
  <c r="AW4" i="3"/>
  <c r="AV4" i="3"/>
  <c r="AS4" i="3"/>
  <c r="AO4" i="3"/>
  <c r="AL4" i="3"/>
  <c r="R7" i="6" s="1"/>
  <c r="AK4" i="3"/>
  <c r="AJ4" i="3"/>
  <c r="P7" i="6" s="1"/>
  <c r="AI4" i="3"/>
  <c r="AH4" i="3"/>
  <c r="AF4" i="3"/>
  <c r="AG4" i="3" s="1"/>
  <c r="AE4" i="3"/>
  <c r="AW3" i="3"/>
  <c r="AV3" i="3"/>
  <c r="AU3" i="3"/>
  <c r="AT3" i="3"/>
  <c r="AS3" i="3"/>
  <c r="X6" i="6" s="1"/>
  <c r="AO3" i="3"/>
  <c r="AL3" i="3"/>
  <c r="AK3" i="3"/>
  <c r="AJ3" i="3"/>
  <c r="P6" i="6" s="1"/>
  <c r="AI3" i="3"/>
  <c r="AH3" i="3"/>
  <c r="AG3" i="3"/>
  <c r="AF3" i="3"/>
  <c r="AE3" i="3"/>
  <c r="AW2" i="3"/>
  <c r="AV2" i="3"/>
  <c r="AT2" i="3"/>
  <c r="AS2" i="3"/>
  <c r="AO2" i="3"/>
  <c r="AN2" i="3"/>
  <c r="AL2" i="3"/>
  <c r="AK2" i="3"/>
  <c r="AJ2" i="3"/>
  <c r="AI2" i="3"/>
  <c r="AH2" i="3"/>
  <c r="AF2" i="3"/>
  <c r="AG2" i="3" s="1"/>
  <c r="AE2" i="3"/>
  <c r="B22" i="2"/>
  <c r="B20" i="2"/>
  <c r="B21" i="2" s="1"/>
  <c r="AU149" i="3" s="1"/>
  <c r="B17" i="2"/>
  <c r="B18" i="2" s="1"/>
  <c r="B16" i="2"/>
  <c r="AP137" i="3" s="1"/>
  <c r="AQ137" i="3" s="1"/>
  <c r="AR137" i="3" s="1"/>
  <c r="C10" i="8" l="1"/>
  <c r="E10" i="8" s="1"/>
  <c r="C5" i="8"/>
  <c r="E5" i="8" s="1"/>
  <c r="C12" i="8"/>
  <c r="E12" i="8" s="1"/>
  <c r="C7" i="8"/>
  <c r="E7" i="8" s="1"/>
  <c r="C9" i="8"/>
  <c r="E9" i="8" s="1"/>
  <c r="C11" i="8"/>
  <c r="E11" i="8" s="1"/>
  <c r="C6" i="8"/>
  <c r="E6" i="8" s="1"/>
  <c r="C8" i="8"/>
  <c r="E8" i="8" s="1"/>
  <c r="B19" i="2"/>
  <c r="F7" i="6"/>
  <c r="F5" i="6"/>
  <c r="F5" i="5"/>
  <c r="F5" i="4"/>
  <c r="Y7" i="6"/>
  <c r="D23" i="7"/>
  <c r="P5" i="5"/>
  <c r="P5" i="6"/>
  <c r="P5" i="4"/>
  <c r="U6" i="6"/>
  <c r="AU5" i="3"/>
  <c r="AP3" i="3"/>
  <c r="AQ3" i="3" s="1"/>
  <c r="F6" i="4"/>
  <c r="AT7" i="3"/>
  <c r="AP9" i="3"/>
  <c r="AQ9" i="3" s="1"/>
  <c r="AR9" i="3" s="1"/>
  <c r="O7" i="6"/>
  <c r="AM4" i="3"/>
  <c r="AU4" i="3"/>
  <c r="R8" i="6"/>
  <c r="O6" i="4"/>
  <c r="B24" i="7"/>
  <c r="Y6" i="4"/>
  <c r="AP11" i="3"/>
  <c r="AQ11" i="3" s="1"/>
  <c r="AR11" i="3" s="1"/>
  <c r="O7" i="4"/>
  <c r="AM12" i="3"/>
  <c r="P8" i="4"/>
  <c r="D26" i="7"/>
  <c r="P9" i="4"/>
  <c r="AP23" i="3"/>
  <c r="AQ23" i="3" s="1"/>
  <c r="AR23" i="3" s="1"/>
  <c r="AT24" i="3"/>
  <c r="Q10" i="4"/>
  <c r="AP28" i="3"/>
  <c r="AQ28" i="3" s="1"/>
  <c r="AR28" i="3" s="1"/>
  <c r="P7" i="5"/>
  <c r="AU65" i="3"/>
  <c r="AP83" i="3"/>
  <c r="AQ83" i="3" s="1"/>
  <c r="AR83" i="3" s="1"/>
  <c r="X8" i="5"/>
  <c r="AT107" i="3"/>
  <c r="AT129" i="3"/>
  <c r="Q7" i="5"/>
  <c r="AN62" i="3"/>
  <c r="AT74" i="3"/>
  <c r="AP85" i="3"/>
  <c r="AQ85" i="3" s="1"/>
  <c r="AR85" i="3" s="1"/>
  <c r="AP96" i="3"/>
  <c r="AQ96" i="3" s="1"/>
  <c r="AR96" i="3" s="1"/>
  <c r="AU99" i="3"/>
  <c r="AP105" i="3"/>
  <c r="AQ105" i="3" s="1"/>
  <c r="AR105" i="3" s="1"/>
  <c r="AT123" i="3"/>
  <c r="Q6" i="4"/>
  <c r="AP8" i="3"/>
  <c r="AQ8" i="3" s="1"/>
  <c r="AR8" i="3" s="1"/>
  <c r="AU26" i="3"/>
  <c r="AU28" i="3"/>
  <c r="X6" i="5"/>
  <c r="AU34" i="3"/>
  <c r="AU40" i="3"/>
  <c r="AU42" i="3"/>
  <c r="AP53" i="3"/>
  <c r="AQ53" i="3" s="1"/>
  <c r="AR53" i="3" s="1"/>
  <c r="AT59" i="3"/>
  <c r="AU61" i="3"/>
  <c r="R7" i="5"/>
  <c r="AT69" i="3"/>
  <c r="AU72" i="3"/>
  <c r="AT77" i="3"/>
  <c r="AP88" i="3"/>
  <c r="AQ88" i="3" s="1"/>
  <c r="AR88" i="3" s="1"/>
  <c r="AT90" i="3"/>
  <c r="O9" i="5"/>
  <c r="AM122" i="3"/>
  <c r="AU123" i="3"/>
  <c r="AU145" i="3"/>
  <c r="Y7" i="4"/>
  <c r="U5" i="6"/>
  <c r="U5" i="5"/>
  <c r="U5" i="4"/>
  <c r="AU16" i="3"/>
  <c r="AU18" i="3"/>
  <c r="AP20" i="3"/>
  <c r="AQ20" i="3" s="1"/>
  <c r="AR20" i="3" s="1"/>
  <c r="U9" i="4"/>
  <c r="AT30" i="3"/>
  <c r="AP39" i="3"/>
  <c r="AQ39" i="3" s="1"/>
  <c r="AR39" i="3" s="1"/>
  <c r="AP51" i="3"/>
  <c r="AQ51" i="3" s="1"/>
  <c r="AR51" i="3" s="1"/>
  <c r="AU59" i="3"/>
  <c r="AP68" i="3"/>
  <c r="AQ68" i="3" s="1"/>
  <c r="AR68" i="3" s="1"/>
  <c r="AU77" i="3"/>
  <c r="AT83" i="3"/>
  <c r="AU90" i="3"/>
  <c r="AT93" i="3"/>
  <c r="AP109" i="3"/>
  <c r="AQ109" i="3" s="1"/>
  <c r="AR109" i="3" s="1"/>
  <c r="AP115" i="3"/>
  <c r="AQ115" i="3" s="1"/>
  <c r="AR115" i="3" s="1"/>
  <c r="P9" i="5"/>
  <c r="AT143" i="3"/>
  <c r="AP2" i="3"/>
  <c r="AQ2" i="3" s="1"/>
  <c r="Q7" i="6"/>
  <c r="AN4" i="3"/>
  <c r="O6" i="6"/>
  <c r="AM3" i="3"/>
  <c r="AU6" i="3"/>
  <c r="AU8" i="3"/>
  <c r="AP10" i="3"/>
  <c r="AQ10" i="3" s="1"/>
  <c r="AR10" i="3" s="1"/>
  <c r="AN17" i="3"/>
  <c r="AP22" i="3"/>
  <c r="AQ22" i="3" s="1"/>
  <c r="AT23" i="3"/>
  <c r="U10" i="4"/>
  <c r="AU30" i="3"/>
  <c r="AP33" i="3"/>
  <c r="AQ33" i="3" s="1"/>
  <c r="AR33" i="3" s="1"/>
  <c r="AP45" i="3"/>
  <c r="AQ45" i="3" s="1"/>
  <c r="AR45" i="3" s="1"/>
  <c r="AP47" i="3"/>
  <c r="AQ47" i="3" s="1"/>
  <c r="AR47" i="3" s="1"/>
  <c r="AT49" i="3"/>
  <c r="AP58" i="3"/>
  <c r="AQ58" i="3" s="1"/>
  <c r="AR58" i="3" s="1"/>
  <c r="U7" i="5"/>
  <c r="AT70" i="3"/>
  <c r="AU83" i="3"/>
  <c r="AU93" i="3"/>
  <c r="AP103" i="3"/>
  <c r="AQ103" i="3" s="1"/>
  <c r="AR103" i="3" s="1"/>
  <c r="Q9" i="5"/>
  <c r="AN122" i="3"/>
  <c r="AT127" i="3"/>
  <c r="AU143" i="3"/>
  <c r="AT151" i="3"/>
  <c r="C11" i="9"/>
  <c r="D11" i="9" s="1"/>
  <c r="AP151" i="3"/>
  <c r="AQ151" i="3" s="1"/>
  <c r="AR151" i="3" s="1"/>
  <c r="AP141" i="3"/>
  <c r="AQ141" i="3" s="1"/>
  <c r="AR141" i="3" s="1"/>
  <c r="AP131" i="3"/>
  <c r="AQ131" i="3" s="1"/>
  <c r="AR131" i="3" s="1"/>
  <c r="AP121" i="3"/>
  <c r="AQ121" i="3" s="1"/>
  <c r="AR121" i="3" s="1"/>
  <c r="AP111" i="3"/>
  <c r="AQ111" i="3" s="1"/>
  <c r="AR111" i="3" s="1"/>
  <c r="AP101" i="3"/>
  <c r="AQ101" i="3" s="1"/>
  <c r="AR101" i="3" s="1"/>
  <c r="AP91" i="3"/>
  <c r="AQ91" i="3" s="1"/>
  <c r="AR91" i="3" s="1"/>
  <c r="AP81" i="3"/>
  <c r="AQ81" i="3" s="1"/>
  <c r="AR81" i="3" s="1"/>
  <c r="C14" i="9"/>
  <c r="D14" i="9" s="1"/>
  <c r="C13" i="9"/>
  <c r="D13" i="9" s="1"/>
  <c r="C12" i="9"/>
  <c r="D12" i="9" s="1"/>
  <c r="AP145" i="3"/>
  <c r="AQ145" i="3" s="1"/>
  <c r="AR145" i="3" s="1"/>
  <c r="AP139" i="3"/>
  <c r="AQ139" i="3" s="1"/>
  <c r="AR139" i="3" s="1"/>
  <c r="AP128" i="3"/>
  <c r="AQ128" i="3" s="1"/>
  <c r="AR128" i="3" s="1"/>
  <c r="AP117" i="3"/>
  <c r="AQ117" i="3" s="1"/>
  <c r="AR117" i="3" s="1"/>
  <c r="AP106" i="3"/>
  <c r="AQ106" i="3" s="1"/>
  <c r="AR106" i="3" s="1"/>
  <c r="AP95" i="3"/>
  <c r="AQ95" i="3" s="1"/>
  <c r="AR95" i="3" s="1"/>
  <c r="AP89" i="3"/>
  <c r="AQ89" i="3" s="1"/>
  <c r="AR89" i="3" s="1"/>
  <c r="AP78" i="3"/>
  <c r="AQ78" i="3" s="1"/>
  <c r="AR78" i="3" s="1"/>
  <c r="AP71" i="3"/>
  <c r="AQ71" i="3" s="1"/>
  <c r="AR71" i="3" s="1"/>
  <c r="AP140" i="3"/>
  <c r="AQ140" i="3" s="1"/>
  <c r="AR140" i="3" s="1"/>
  <c r="AP134" i="3"/>
  <c r="AQ134" i="3" s="1"/>
  <c r="AR134" i="3" s="1"/>
  <c r="AP123" i="3"/>
  <c r="AQ123" i="3" s="1"/>
  <c r="AR123" i="3" s="1"/>
  <c r="AP112" i="3"/>
  <c r="AQ112" i="3" s="1"/>
  <c r="AR112" i="3" s="1"/>
  <c r="AP90" i="3"/>
  <c r="AQ90" i="3" s="1"/>
  <c r="AR90" i="3" s="1"/>
  <c r="AP84" i="3"/>
  <c r="AQ84" i="3" s="1"/>
  <c r="AR84" i="3" s="1"/>
  <c r="AP72" i="3"/>
  <c r="AQ72" i="3" s="1"/>
  <c r="AR72" i="3" s="1"/>
  <c r="AP62" i="3"/>
  <c r="AQ62" i="3" s="1"/>
  <c r="AP52" i="3"/>
  <c r="AQ52" i="3" s="1"/>
  <c r="AR52" i="3" s="1"/>
  <c r="AP150" i="3"/>
  <c r="AQ150" i="3" s="1"/>
  <c r="AR150" i="3" s="1"/>
  <c r="AP144" i="3"/>
  <c r="AQ144" i="3" s="1"/>
  <c r="AR144" i="3" s="1"/>
  <c r="AP133" i="3"/>
  <c r="AQ133" i="3" s="1"/>
  <c r="AR133" i="3" s="1"/>
  <c r="AP122" i="3"/>
  <c r="AQ122" i="3" s="1"/>
  <c r="AP135" i="3"/>
  <c r="AQ135" i="3" s="1"/>
  <c r="AR135" i="3" s="1"/>
  <c r="AP127" i="3"/>
  <c r="AQ127" i="3" s="1"/>
  <c r="AR127" i="3" s="1"/>
  <c r="AP113" i="3"/>
  <c r="AQ113" i="3" s="1"/>
  <c r="AR113" i="3" s="1"/>
  <c r="AP110" i="3"/>
  <c r="AQ110" i="3" s="1"/>
  <c r="AR110" i="3" s="1"/>
  <c r="AP104" i="3"/>
  <c r="AQ104" i="3" s="1"/>
  <c r="AR104" i="3" s="1"/>
  <c r="AP97" i="3"/>
  <c r="AQ97" i="3" s="1"/>
  <c r="AR97" i="3" s="1"/>
  <c r="AP75" i="3"/>
  <c r="AQ75" i="3" s="1"/>
  <c r="AR75" i="3" s="1"/>
  <c r="AP66" i="3"/>
  <c r="AQ66" i="3" s="1"/>
  <c r="AR66" i="3" s="1"/>
  <c r="AP60" i="3"/>
  <c r="AQ60" i="3" s="1"/>
  <c r="AR60" i="3" s="1"/>
  <c r="AP49" i="3"/>
  <c r="AQ49" i="3" s="1"/>
  <c r="AR49" i="3" s="1"/>
  <c r="AP41" i="3"/>
  <c r="AQ41" i="3" s="1"/>
  <c r="AR41" i="3" s="1"/>
  <c r="AP31" i="3"/>
  <c r="AQ31" i="3" s="1"/>
  <c r="AR31" i="3" s="1"/>
  <c r="AP146" i="3"/>
  <c r="AQ146" i="3" s="1"/>
  <c r="AR146" i="3" s="1"/>
  <c r="AP143" i="3"/>
  <c r="AQ143" i="3" s="1"/>
  <c r="AR143" i="3" s="1"/>
  <c r="AP119" i="3"/>
  <c r="AQ119" i="3" s="1"/>
  <c r="AR119" i="3" s="1"/>
  <c r="AP116" i="3"/>
  <c r="AQ116" i="3" s="1"/>
  <c r="AR116" i="3" s="1"/>
  <c r="AP94" i="3"/>
  <c r="AQ94" i="3" s="1"/>
  <c r="AR94" i="3" s="1"/>
  <c r="AP61" i="3"/>
  <c r="AQ61" i="3" s="1"/>
  <c r="AR61" i="3" s="1"/>
  <c r="AP55" i="3"/>
  <c r="AQ55" i="3" s="1"/>
  <c r="AR55" i="3" s="1"/>
  <c r="AP42" i="3"/>
  <c r="AQ42" i="3" s="1"/>
  <c r="AR42" i="3" s="1"/>
  <c r="AP32" i="3"/>
  <c r="AQ32" i="3" s="1"/>
  <c r="AP148" i="3"/>
  <c r="AQ148" i="3" s="1"/>
  <c r="AR148" i="3" s="1"/>
  <c r="AP132" i="3"/>
  <c r="AQ132" i="3" s="1"/>
  <c r="AR132" i="3" s="1"/>
  <c r="AP130" i="3"/>
  <c r="AQ130" i="3" s="1"/>
  <c r="AR130" i="3" s="1"/>
  <c r="AP124" i="3"/>
  <c r="AQ124" i="3" s="1"/>
  <c r="AR124" i="3" s="1"/>
  <c r="AP107" i="3"/>
  <c r="AQ107" i="3" s="1"/>
  <c r="AR107" i="3" s="1"/>
  <c r="AP100" i="3"/>
  <c r="AQ100" i="3" s="1"/>
  <c r="AR100" i="3" s="1"/>
  <c r="AP87" i="3"/>
  <c r="AQ87" i="3" s="1"/>
  <c r="AR87" i="3" s="1"/>
  <c r="AP65" i="3"/>
  <c r="AQ65" i="3" s="1"/>
  <c r="AR65" i="3" s="1"/>
  <c r="AP54" i="3"/>
  <c r="AQ54" i="3" s="1"/>
  <c r="AR54" i="3" s="1"/>
  <c r="AP40" i="3"/>
  <c r="AQ40" i="3" s="1"/>
  <c r="AR40" i="3" s="1"/>
  <c r="AP30" i="3"/>
  <c r="AQ30" i="3" s="1"/>
  <c r="AR30" i="3" s="1"/>
  <c r="AP147" i="3"/>
  <c r="AQ147" i="3" s="1"/>
  <c r="AR147" i="3" s="1"/>
  <c r="AP64" i="3"/>
  <c r="AQ64" i="3" s="1"/>
  <c r="AR64" i="3" s="1"/>
  <c r="AP59" i="3"/>
  <c r="AQ59" i="3" s="1"/>
  <c r="AR59" i="3" s="1"/>
  <c r="AP46" i="3"/>
  <c r="AQ46" i="3" s="1"/>
  <c r="AR46" i="3" s="1"/>
  <c r="AP24" i="3"/>
  <c r="AQ24" i="3" s="1"/>
  <c r="AR24" i="3" s="1"/>
  <c r="AP14" i="3"/>
  <c r="AQ14" i="3" s="1"/>
  <c r="AR14" i="3" s="1"/>
  <c r="AP86" i="3"/>
  <c r="AQ86" i="3" s="1"/>
  <c r="AR86" i="3" s="1"/>
  <c r="AP67" i="3"/>
  <c r="AQ67" i="3" s="1"/>
  <c r="AR67" i="3" s="1"/>
  <c r="AP43" i="3"/>
  <c r="AQ43" i="3" s="1"/>
  <c r="AR43" i="3" s="1"/>
  <c r="AP25" i="3"/>
  <c r="AQ25" i="3" s="1"/>
  <c r="AR25" i="3" s="1"/>
  <c r="AP15" i="3"/>
  <c r="AQ15" i="3" s="1"/>
  <c r="AR15" i="3" s="1"/>
  <c r="AP5" i="3"/>
  <c r="AQ5" i="3" s="1"/>
  <c r="B23" i="2"/>
  <c r="B24" i="2" s="1"/>
  <c r="B7" i="9" s="1"/>
  <c r="AP7" i="3"/>
  <c r="AQ7" i="3" s="1"/>
  <c r="AP138" i="3"/>
  <c r="AQ138" i="3" s="1"/>
  <c r="AR138" i="3" s="1"/>
  <c r="AP93" i="3"/>
  <c r="AQ93" i="3" s="1"/>
  <c r="AR93" i="3" s="1"/>
  <c r="AP77" i="3"/>
  <c r="AQ77" i="3" s="1"/>
  <c r="AR77" i="3" s="1"/>
  <c r="AP57" i="3"/>
  <c r="AQ57" i="3" s="1"/>
  <c r="AR57" i="3" s="1"/>
  <c r="AP37" i="3"/>
  <c r="AQ37" i="3" s="1"/>
  <c r="AR37" i="3" s="1"/>
  <c r="AP34" i="3"/>
  <c r="AQ34" i="3" s="1"/>
  <c r="AR34" i="3" s="1"/>
  <c r="AP26" i="3"/>
  <c r="AQ26" i="3" s="1"/>
  <c r="AR26" i="3" s="1"/>
  <c r="AP16" i="3"/>
  <c r="AQ16" i="3" s="1"/>
  <c r="AR16" i="3" s="1"/>
  <c r="AP6" i="3"/>
  <c r="AQ6" i="3" s="1"/>
  <c r="AP136" i="3"/>
  <c r="AQ136" i="3" s="1"/>
  <c r="AR136" i="3" s="1"/>
  <c r="AP108" i="3"/>
  <c r="AQ108" i="3" s="1"/>
  <c r="AR108" i="3" s="1"/>
  <c r="AP70" i="3"/>
  <c r="AQ70" i="3" s="1"/>
  <c r="AR70" i="3" s="1"/>
  <c r="AP27" i="3"/>
  <c r="AQ27" i="3" s="1"/>
  <c r="AP17" i="3"/>
  <c r="AQ17" i="3" s="1"/>
  <c r="AP126" i="3"/>
  <c r="AQ126" i="3" s="1"/>
  <c r="AR126" i="3" s="1"/>
  <c r="AP118" i="3"/>
  <c r="AQ118" i="3" s="1"/>
  <c r="AR118" i="3" s="1"/>
  <c r="AP114" i="3"/>
  <c r="AQ114" i="3" s="1"/>
  <c r="AR114" i="3" s="1"/>
  <c r="AP102" i="3"/>
  <c r="AQ102" i="3" s="1"/>
  <c r="AR102" i="3" s="1"/>
  <c r="AP99" i="3"/>
  <c r="AQ99" i="3" s="1"/>
  <c r="AR99" i="3" s="1"/>
  <c r="AP82" i="3"/>
  <c r="AQ82" i="3" s="1"/>
  <c r="AR82" i="3" s="1"/>
  <c r="AP73" i="3"/>
  <c r="AQ73" i="3" s="1"/>
  <c r="AR73" i="3" s="1"/>
  <c r="AP142" i="3"/>
  <c r="AQ142" i="3" s="1"/>
  <c r="AR142" i="3" s="1"/>
  <c r="AP80" i="3"/>
  <c r="AQ80" i="3" s="1"/>
  <c r="AR80" i="3" s="1"/>
  <c r="AP120" i="3"/>
  <c r="AQ120" i="3" s="1"/>
  <c r="AR120" i="3" s="1"/>
  <c r="X5" i="6"/>
  <c r="X5" i="4"/>
  <c r="B6" i="9"/>
  <c r="X5" i="5"/>
  <c r="Q6" i="6"/>
  <c r="AN3" i="3"/>
  <c r="AP4" i="3"/>
  <c r="AQ4" i="3" s="1"/>
  <c r="P9" i="6"/>
  <c r="F23" i="7"/>
  <c r="Y9" i="6"/>
  <c r="AN7" i="3"/>
  <c r="AP12" i="3"/>
  <c r="AQ12" i="3" s="1"/>
  <c r="AT13" i="3"/>
  <c r="U8" i="4"/>
  <c r="AU23" i="3"/>
  <c r="AT25" i="3"/>
  <c r="AP29" i="3"/>
  <c r="AQ29" i="3" s="1"/>
  <c r="AR29" i="3" s="1"/>
  <c r="AT43" i="3"/>
  <c r="AU49" i="3"/>
  <c r="AT53" i="3"/>
  <c r="AP56" i="3"/>
  <c r="AQ56" i="3" s="1"/>
  <c r="AR56" i="3" s="1"/>
  <c r="AT64" i="3"/>
  <c r="AU66" i="3"/>
  <c r="AU70" i="3"/>
  <c r="AU88" i="3"/>
  <c r="AP149" i="3"/>
  <c r="AQ149" i="3" s="1"/>
  <c r="AR149" i="3" s="1"/>
  <c r="AU151" i="3"/>
  <c r="F6" i="6"/>
  <c r="F8" i="6"/>
  <c r="AU25" i="3"/>
  <c r="F10" i="4"/>
  <c r="AT27" i="3"/>
  <c r="AT33" i="3"/>
  <c r="AP35" i="3"/>
  <c r="AQ35" i="3" s="1"/>
  <c r="AR35" i="3" s="1"/>
  <c r="AU43" i="3"/>
  <c r="AU51" i="3"/>
  <c r="AU62" i="3"/>
  <c r="AU64" i="3"/>
  <c r="AU91" i="3"/>
  <c r="AP98" i="3"/>
  <c r="AQ98" i="3" s="1"/>
  <c r="AR98" i="3" s="1"/>
  <c r="AT121" i="3"/>
  <c r="R9" i="6"/>
  <c r="U7" i="6"/>
  <c r="AU15" i="3"/>
  <c r="F8" i="4"/>
  <c r="AT17" i="3"/>
  <c r="AP19" i="3"/>
  <c r="AQ19" i="3" s="1"/>
  <c r="AR19" i="3" s="1"/>
  <c r="X9" i="4"/>
  <c r="E27" i="7"/>
  <c r="AU27" i="3"/>
  <c r="AT31" i="3"/>
  <c r="Q6" i="5"/>
  <c r="AU33" i="3"/>
  <c r="AT37" i="3"/>
  <c r="AT39" i="3"/>
  <c r="AP48" i="3"/>
  <c r="AQ48" i="3" s="1"/>
  <c r="AR48" i="3" s="1"/>
  <c r="AU56" i="3"/>
  <c r="AU60" i="3"/>
  <c r="Y7" i="5"/>
  <c r="AP76" i="3"/>
  <c r="AQ76" i="3" s="1"/>
  <c r="AR76" i="3" s="1"/>
  <c r="AP79" i="3"/>
  <c r="AQ79" i="3" s="1"/>
  <c r="AR79" i="3" s="1"/>
  <c r="AT101" i="3"/>
  <c r="AT103" i="3"/>
  <c r="AT106" i="3"/>
  <c r="X7" i="6"/>
  <c r="P8" i="6"/>
  <c r="E23" i="7"/>
  <c r="Y8" i="6"/>
  <c r="AM6" i="3"/>
  <c r="X7" i="4"/>
  <c r="AN13" i="3"/>
  <c r="Q7" i="4"/>
  <c r="E25" i="7"/>
  <c r="AU17" i="3"/>
  <c r="AT22" i="3"/>
  <c r="Y10" i="4"/>
  <c r="B28" i="7"/>
  <c r="AU31" i="3"/>
  <c r="R6" i="5"/>
  <c r="AP38" i="3"/>
  <c r="AQ38" i="3" s="1"/>
  <c r="AR38" i="3" s="1"/>
  <c r="AU39" i="3"/>
  <c r="AP50" i="3"/>
  <c r="AQ50" i="3" s="1"/>
  <c r="AR50" i="3" s="1"/>
  <c r="AT54" i="3"/>
  <c r="AP69" i="3"/>
  <c r="AQ69" i="3" s="1"/>
  <c r="AR69" i="3" s="1"/>
  <c r="AP74" i="3"/>
  <c r="AQ74" i="3" s="1"/>
  <c r="AR74" i="3" s="1"/>
  <c r="AU84" i="3"/>
  <c r="U8" i="5"/>
  <c r="AU101" i="3"/>
  <c r="AP125" i="3"/>
  <c r="AQ125" i="3" s="1"/>
  <c r="AR125" i="3" s="1"/>
  <c r="AP129" i="3"/>
  <c r="AQ129" i="3" s="1"/>
  <c r="AR129" i="3" s="1"/>
  <c r="AU138" i="3"/>
  <c r="Y8" i="4"/>
  <c r="O5" i="6"/>
  <c r="O5" i="4"/>
  <c r="O5" i="5"/>
  <c r="AM2" i="3"/>
  <c r="Q9" i="6"/>
  <c r="B22" i="9"/>
  <c r="B23" i="9" s="1"/>
  <c r="B24" i="9" s="1"/>
  <c r="U6" i="4"/>
  <c r="D12" i="8"/>
  <c r="F12" i="8" s="1"/>
  <c r="D7" i="8"/>
  <c r="F7" i="8" s="1"/>
  <c r="D9" i="8"/>
  <c r="F9" i="8" s="1"/>
  <c r="AU146" i="3"/>
  <c r="AT145" i="3"/>
  <c r="AU136" i="3"/>
  <c r="AT135" i="3"/>
  <c r="AU126" i="3"/>
  <c r="AT125" i="3"/>
  <c r="AU116" i="3"/>
  <c r="AT115" i="3"/>
  <c r="AU106" i="3"/>
  <c r="AT105" i="3"/>
  <c r="AU96" i="3"/>
  <c r="AT95" i="3"/>
  <c r="AU86" i="3"/>
  <c r="AT85" i="3"/>
  <c r="AU76" i="3"/>
  <c r="AT75" i="3"/>
  <c r="D11" i="8"/>
  <c r="F11" i="8" s="1"/>
  <c r="D6" i="8"/>
  <c r="F6" i="8" s="1"/>
  <c r="D8" i="8"/>
  <c r="F8" i="8" s="1"/>
  <c r="D10" i="8"/>
  <c r="F10" i="8" s="1"/>
  <c r="D5" i="8"/>
  <c r="F5" i="8" s="1"/>
  <c r="AT147" i="3"/>
  <c r="AT136" i="3"/>
  <c r="AU131" i="3"/>
  <c r="AU125" i="3"/>
  <c r="AU120" i="3"/>
  <c r="AT119" i="3"/>
  <c r="AU114" i="3"/>
  <c r="AT113" i="3"/>
  <c r="AT108" i="3"/>
  <c r="AT102" i="3"/>
  <c r="AT97" i="3"/>
  <c r="AT86" i="3"/>
  <c r="AU81" i="3"/>
  <c r="AU75" i="3"/>
  <c r="AU148" i="3"/>
  <c r="AU142" i="3"/>
  <c r="AU137" i="3"/>
  <c r="AT131" i="3"/>
  <c r="AT120" i="3"/>
  <c r="AT114" i="3"/>
  <c r="AU109" i="3"/>
  <c r="AU103" i="3"/>
  <c r="AU98" i="3"/>
  <c r="AU92" i="3"/>
  <c r="AU87" i="3"/>
  <c r="AT81" i="3"/>
  <c r="AU67" i="3"/>
  <c r="AT66" i="3"/>
  <c r="AU57" i="3"/>
  <c r="AT56" i="3"/>
  <c r="AU47" i="3"/>
  <c r="AU147" i="3"/>
  <c r="AT141" i="3"/>
  <c r="AT130" i="3"/>
  <c r="AT124" i="3"/>
  <c r="AU119" i="3"/>
  <c r="AU113" i="3"/>
  <c r="AU144" i="3"/>
  <c r="AT133" i="3"/>
  <c r="AT128" i="3"/>
  <c r="AT122" i="3"/>
  <c r="AU117" i="3"/>
  <c r="AT111" i="3"/>
  <c r="AU85" i="3"/>
  <c r="AT82" i="3"/>
  <c r="AT79" i="3"/>
  <c r="AT68" i="3"/>
  <c r="AT57" i="3"/>
  <c r="AU52" i="3"/>
  <c r="AU46" i="3"/>
  <c r="AT45" i="3"/>
  <c r="AU36" i="3"/>
  <c r="AT35" i="3"/>
  <c r="AU150" i="3"/>
  <c r="AT144" i="3"/>
  <c r="AU139" i="3"/>
  <c r="AT117" i="3"/>
  <c r="AU102" i="3"/>
  <c r="AT92" i="3"/>
  <c r="AU89" i="3"/>
  <c r="AU80" i="3"/>
  <c r="AU69" i="3"/>
  <c r="AU63" i="3"/>
  <c r="AU58" i="3"/>
  <c r="AT52" i="3"/>
  <c r="AT46" i="3"/>
  <c r="AU37" i="3"/>
  <c r="AT36" i="3"/>
  <c r="AT149" i="3"/>
  <c r="AT146" i="3"/>
  <c r="AU141" i="3"/>
  <c r="AU133" i="3"/>
  <c r="AU128" i="3"/>
  <c r="AU122" i="3"/>
  <c r="AU111" i="3"/>
  <c r="AU108" i="3"/>
  <c r="AU105" i="3"/>
  <c r="AT98" i="3"/>
  <c r="AU95" i="3"/>
  <c r="AT88" i="3"/>
  <c r="AU82" i="3"/>
  <c r="AU79" i="3"/>
  <c r="AT76" i="3"/>
  <c r="AT72" i="3"/>
  <c r="AU68" i="3"/>
  <c r="AT62" i="3"/>
  <c r="AT51" i="3"/>
  <c r="AU45" i="3"/>
  <c r="AT44" i="3"/>
  <c r="AU35" i="3"/>
  <c r="AT34" i="3"/>
  <c r="AT150" i="3"/>
  <c r="AU140" i="3"/>
  <c r="AT138" i="3"/>
  <c r="AU130" i="3"/>
  <c r="AT126" i="3"/>
  <c r="AT110" i="3"/>
  <c r="AU104" i="3"/>
  <c r="AT99" i="3"/>
  <c r="AU97" i="3"/>
  <c r="AT91" i="3"/>
  <c r="AT89" i="3"/>
  <c r="AT84" i="3"/>
  <c r="AT65" i="3"/>
  <c r="AT60" i="3"/>
  <c r="AT47" i="3"/>
  <c r="AU41" i="3"/>
  <c r="AT28" i="3"/>
  <c r="AU19" i="3"/>
  <c r="AT18" i="3"/>
  <c r="AU9" i="3"/>
  <c r="AT8" i="3"/>
  <c r="AT148" i="3"/>
  <c r="AT142" i="3"/>
  <c r="AT140" i="3"/>
  <c r="AU134" i="3"/>
  <c r="AU132" i="3"/>
  <c r="AU124" i="3"/>
  <c r="AU118" i="3"/>
  <c r="AT116" i="3"/>
  <c r="AU112" i="3"/>
  <c r="AT104" i="3"/>
  <c r="AT87" i="3"/>
  <c r="AT80" i="3"/>
  <c r="AU73" i="3"/>
  <c r="AU55" i="3"/>
  <c r="AU50" i="3"/>
  <c r="AU44" i="3"/>
  <c r="AT41" i="3"/>
  <c r="AU38" i="3"/>
  <c r="AU29" i="3"/>
  <c r="AU20" i="3"/>
  <c r="AT19" i="3"/>
  <c r="AU10" i="3"/>
  <c r="AT9" i="3"/>
  <c r="AU12" i="3"/>
  <c r="AT11" i="3"/>
  <c r="AT134" i="3"/>
  <c r="AT132" i="3"/>
  <c r="AT118" i="3"/>
  <c r="AT112" i="3"/>
  <c r="AU78" i="3"/>
  <c r="AT73" i="3"/>
  <c r="AU71" i="3"/>
  <c r="AT63" i="3"/>
  <c r="AT58" i="3"/>
  <c r="AT55" i="3"/>
  <c r="AT50" i="3"/>
  <c r="AT38" i="3"/>
  <c r="AU32" i="3"/>
  <c r="AT29" i="3"/>
  <c r="AU21" i="3"/>
  <c r="AT20" i="3"/>
  <c r="AU11" i="3"/>
  <c r="AT10" i="3"/>
  <c r="AT137" i="3"/>
  <c r="AU100" i="3"/>
  <c r="AT78" i="3"/>
  <c r="AT71" i="3"/>
  <c r="AU53" i="3"/>
  <c r="AU48" i="3"/>
  <c r="AT32" i="3"/>
  <c r="AU22" i="3"/>
  <c r="AT21" i="3"/>
  <c r="AU2" i="3"/>
  <c r="AT139" i="3"/>
  <c r="AU115" i="3"/>
  <c r="AT109" i="3"/>
  <c r="AT100" i="3"/>
  <c r="AU94" i="3"/>
  <c r="AU74" i="3"/>
  <c r="AU129" i="3"/>
  <c r="AU127" i="3"/>
  <c r="AU121" i="3"/>
  <c r="AU107" i="3"/>
  <c r="AT96" i="3"/>
  <c r="AT94" i="3"/>
  <c r="AT4" i="3"/>
  <c r="Q8" i="6"/>
  <c r="AN5" i="3"/>
  <c r="AN6" i="3"/>
  <c r="AU7" i="3"/>
  <c r="AT12" i="3"/>
  <c r="O8" i="4"/>
  <c r="AP21" i="3"/>
  <c r="AQ21" i="3" s="1"/>
  <c r="AR21" i="3" s="1"/>
  <c r="O9" i="4"/>
  <c r="AM22" i="3"/>
  <c r="P10" i="4"/>
  <c r="AP44" i="3"/>
  <c r="AQ44" i="3" s="1"/>
  <c r="AR44" i="3" s="1"/>
  <c r="AU54" i="3"/>
  <c r="AP63" i="3"/>
  <c r="AQ63" i="3" s="1"/>
  <c r="AR63" i="3" s="1"/>
  <c r="AT67" i="3"/>
  <c r="AP92" i="3"/>
  <c r="AQ92" i="3" s="1"/>
  <c r="AU110" i="3"/>
  <c r="AU135" i="3"/>
  <c r="F8" i="5"/>
  <c r="Q5" i="6"/>
  <c r="Q5" i="5"/>
  <c r="Q5" i="4"/>
  <c r="R6" i="6"/>
  <c r="C23" i="7"/>
  <c r="Y6" i="6"/>
  <c r="C25" i="7"/>
  <c r="Q9" i="4"/>
  <c r="C27" i="7"/>
  <c r="E28" i="7"/>
  <c r="U8" i="6"/>
  <c r="R7" i="4"/>
  <c r="B25" i="7"/>
  <c r="R9" i="4"/>
  <c r="B27" i="7"/>
  <c r="Y9" i="4"/>
  <c r="U9" i="6"/>
  <c r="R5" i="6"/>
  <c r="R5" i="5"/>
  <c r="R5" i="4"/>
  <c r="B23" i="7"/>
  <c r="Y5" i="6"/>
  <c r="Y5" i="4"/>
  <c r="F24" i="7"/>
  <c r="F26" i="7"/>
  <c r="O6" i="5"/>
  <c r="Y6" i="5"/>
  <c r="Y9" i="5"/>
  <c r="Y5" i="5"/>
  <c r="X6" i="4"/>
  <c r="E24" i="7"/>
  <c r="E26" i="7"/>
  <c r="AN22" i="3"/>
  <c r="O10" i="4"/>
  <c r="X10" i="4"/>
  <c r="D28" i="7"/>
  <c r="P6" i="5"/>
  <c r="R8" i="5"/>
  <c r="O7" i="5"/>
  <c r="Q8" i="5"/>
  <c r="C28" i="7"/>
  <c r="F7" i="5"/>
  <c r="O8" i="5"/>
  <c r="X9" i="5"/>
  <c r="F6" i="5"/>
  <c r="F9" i="5"/>
  <c r="P8" i="5"/>
  <c r="Y8" i="5"/>
  <c r="U9" i="5"/>
  <c r="V6" i="5" l="1"/>
  <c r="AR32" i="3"/>
  <c r="W6" i="5" s="1"/>
  <c r="V8" i="4"/>
  <c r="AR17" i="3"/>
  <c r="W8" i="4" s="1"/>
  <c r="V9" i="5"/>
  <c r="AR122" i="3"/>
  <c r="W9" i="5" s="1"/>
  <c r="V10" i="4"/>
  <c r="AR27" i="3"/>
  <c r="W10" i="4" s="1"/>
  <c r="V5" i="6"/>
  <c r="V5" i="5"/>
  <c r="AR2" i="3"/>
  <c r="V5" i="4"/>
  <c r="V9" i="4"/>
  <c r="AR22" i="3"/>
  <c r="W9" i="4" s="1"/>
  <c r="V7" i="6"/>
  <c r="AR4" i="3"/>
  <c r="W7" i="6" s="1"/>
  <c r="V6" i="4"/>
  <c r="AR7" i="3"/>
  <c r="W6" i="4" s="1"/>
  <c r="V8" i="5"/>
  <c r="AR92" i="3"/>
  <c r="W8" i="5" s="1"/>
  <c r="V9" i="6"/>
  <c r="AR6" i="3"/>
  <c r="W9" i="6" s="1"/>
  <c r="V7" i="5"/>
  <c r="AR62" i="3"/>
  <c r="W7" i="5" s="1"/>
  <c r="V8" i="6"/>
  <c r="AR5" i="3"/>
  <c r="W8" i="6" s="1"/>
  <c r="V7" i="4"/>
  <c r="AR12" i="3"/>
  <c r="W7" i="4" s="1"/>
  <c r="V6" i="6"/>
  <c r="AR3" i="3"/>
  <c r="W6" i="6" s="1"/>
  <c r="W5" i="6" l="1"/>
  <c r="B10" i="9"/>
  <c r="C10" i="9" s="1"/>
  <c r="D10" i="9" s="1"/>
  <c r="W5" i="5"/>
  <c r="W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1" authorId="0" shapeId="0" xr:uid="{00000000-0006-0000-0100-000001000000}">
      <text>
        <r>
          <rPr>
            <sz val="10"/>
            <color rgb="FF000000"/>
            <rFont val="Arial"/>
            <family val="2"/>
          </rPr>
          <t>Estimate: half of the published 2:4-sparse FP8 figure (2,000 TFLOPS).</t>
        </r>
      </text>
    </comment>
    <comment ref="B13" authorId="0" shapeId="0" xr:uid="{00000000-0006-0000-0100-000002000000}">
      <text>
        <r>
          <rPr>
            <sz val="10"/>
            <color rgb="FF000000"/>
            <rFont val="Calibri"/>
            <family val="2"/>
          </rPr>
          <t>PCIe 5.0 x16 confirmed with nvidia-smi on all GPUs. 63 GB/s is the theoretical peak per direction; achievable throughput is typically 80 to 85% of it.</t>
        </r>
      </text>
    </comment>
  </commentList>
</comments>
</file>

<file path=xl/sharedStrings.xml><?xml version="1.0" encoding="utf-8"?>
<sst xmlns="http://schemas.openxmlformats.org/spreadsheetml/2006/main" count="303" uniqueCount="229">
  <si>
    <t>Llama 3.1 70B inference sweep: parameter workbook</t>
  </si>
  <si>
    <t>What this is</t>
  </si>
  <si>
    <t>All parameters measured in the 150-point sweep (5 input lengths x 6 output lengths x 5 request rates, 100 requests each) plus the derived quantities discussed in the report.</t>
  </si>
  <si>
    <t>Sheets</t>
  </si>
  <si>
    <t>Data: one row per load point (measured columns, gray headers; formula columns, green headers).  Assumptions: model and hardware constants (blue = editable).  KV_Capacity: KV cache per sequence and sequences that fit.  By_Output_Len / By_Input_Len / By_Rate: averages.  Rate_Effect: full output-length x request-rate grids (TTFT, tokens per joule, TPOT, power, SM active) behind Section 3.  Maximum Throughput: compute-ceiling and PCIe-ceiling estimates.</t>
  </si>
  <si>
    <t>Colour code</t>
  </si>
  <si>
    <t>Blue text = hardcoded input. Black text = formula or measured data. Yellow fill = a key input to change. Change inputs on Assumptions and everything recalculates.</t>
  </si>
  <si>
    <t>Setup</t>
  </si>
  <si>
    <t>4x RTX PRO 6000 Blackwell (PCIe, no NVLink), vLLM, tensor-parallel size 4, FP8 weights, BF16 KV cache, --gpu-memory-utilization 0.88, --max-model-len 16384.</t>
  </si>
  <si>
    <t>Units</t>
  </si>
  <si>
    <t>PCIe TX/RX: DCGM reports bytes per second per GPU (columns ending _Bps); the Data sheet also gives GB/s. Power in watts per GPU. VRAM in MiB per GPU. KV-cache columns are percent of the pre-allocated pool, from vLLM server logs.</t>
  </si>
  <si>
    <t>Averages</t>
  </si>
  <si>
    <t>DCGM averages are time-averages over each run window across all 4 GPUs, using numeric samples only (leading N/A samples excluded; idle samples at the start and end are included).</t>
  </si>
  <si>
    <t>tensor_active</t>
  </si>
  <si>
    <t>A duty cycle: the share of sampled time the tensor pipes were busy, averaged over SMs and GPUs. It is not a share of peak FLOPs.</t>
  </si>
  <si>
    <t>Arrival window</t>
  </si>
  <si>
    <t>elapsed_s includes the time to submit the requests (num_prompts / rate). remainder_s subtracts it. Compare remainder_s, not elapsed_s, when judging the effect of request rate.</t>
  </si>
  <si>
    <t>FLOPs per token</t>
  </si>
  <si>
    <t>2 x parameters (Assumptions!B16). It ignores attention FLOPs, so achieved TFLOPS is slightly understated at long contexts.</t>
  </si>
  <si>
    <t>Estimates</t>
  </si>
  <si>
    <t>Not included</t>
  </si>
  <si>
    <t>The manifest columns peak_sm_active, peak_tensor_active and peak_dram_active (mislabeled in older manifests; use the dcgm_* columns here) and peak_output_throughput (not captured by the analysis script).</t>
  </si>
  <si>
    <t>Measurement window</t>
  </si>
  <si>
    <t>elapsed_s and the DCGM/nvidia-smi averages cover the whole vllm bench command, including several seconds of tool start-up and teardown around the requests. For the shortest runs (13-30 s) idle samples are a large share of the window and lower the averages; for runs longer than about two minutes the effect is negligible.</t>
  </si>
  <si>
    <t>Sample size</t>
  </si>
  <si>
    <t>One trial per load point, so there is no variance estimate. Small differences (a few percent) may be noise.</t>
  </si>
  <si>
    <t>Source data</t>
  </si>
  <si>
    <t>full_summary.csv produced by analyze_sweep.py from manifest.csv, the bench_*.json files, the raw dcgm_*.log files, and the vLLM server logs.</t>
  </si>
  <si>
    <t>Assumptions and derived constants</t>
  </si>
  <si>
    <t>Blue cells are hardcoded inputs (edit these). Black cells are formulas. Every other sheet reads from here.</t>
  </si>
  <si>
    <t>Parameter</t>
  </si>
  <si>
    <t>Value</t>
  </si>
  <si>
    <t>Unit</t>
  </si>
  <si>
    <t>Type</t>
  </si>
  <si>
    <t>Source / note</t>
  </si>
  <si>
    <t>Model parameters</t>
  </si>
  <si>
    <t>parameters</t>
  </si>
  <si>
    <t>Input</t>
  </si>
  <si>
    <t>Llama 3.1 70B, ~70 billion parameters (approximate; actual is about 70.6B).</t>
  </si>
  <si>
    <t>Transformer layers</t>
  </si>
  <si>
    <t>layers</t>
  </si>
  <si>
    <t>Llama 3.1 70B architecture (config.json num_hidden_layers). Verify in the checkpoint folder.</t>
  </si>
  <si>
    <t>KV heads (GQA)</t>
  </si>
  <si>
    <t>heads</t>
  </si>
  <si>
    <t>Llama 3.1 70B config.json num_key_value_heads. Verify in the checkpoint folder.</t>
  </si>
  <si>
    <t>Head dimension</t>
  </si>
  <si>
    <t>elements</t>
  </si>
  <si>
    <t>Llama 3.1 70B: hidden size 8192 / 64 attention heads. Verify in config.json.</t>
  </si>
  <si>
    <t>Bytes per KV-cache element</t>
  </si>
  <si>
    <t>bytes</t>
  </si>
  <si>
    <t>BF16. No --kv-cache-dtype flag was used, so vLLM kept the model compute dtype for the cache.</t>
  </si>
  <si>
    <t>Tensor-parallel size (GPUs)</t>
  </si>
  <si>
    <t>GPUs</t>
  </si>
  <si>
    <t>--tensor-parallel-size 4 in the vllm serve command.</t>
  </si>
  <si>
    <t>Model weights per GPU</t>
  </si>
  <si>
    <t>GiB</t>
  </si>
  <si>
    <t>From the vLLM startup log: 'Model loading took 16.98 GiB memory'.</t>
  </si>
  <si>
    <t>Peak dense FP8 per GPU (estimate)</t>
  </si>
  <si>
    <t>TFLOPS</t>
  </si>
  <si>
    <t>Estimate</t>
  </si>
  <si>
    <t>NVIDIA publishes 2,000 TFLOPS for FP8 with 2:4 sparsity only. Dense is taken as half. This is an estimate, not a vendor figure.</t>
  </si>
  <si>
    <t>Memory bandwidth per GPU</t>
  </si>
  <si>
    <t>TB/s</t>
  </si>
  <si>
    <t>Published GDDR7 bandwidth for the RTX PRO 6000 Blackwell.</t>
  </si>
  <si>
    <t>GB/s</t>
  </si>
  <si>
    <t>Assumption</t>
  </si>
  <si>
    <t>Derived constants (formulas)</t>
  </si>
  <si>
    <t>FLOPs per generated token</t>
  </si>
  <si>
    <t>FLOP</t>
  </si>
  <si>
    <t>Formula</t>
  </si>
  <si>
    <t>2 x parameters (forward pass only). Ignores attention FLOPs, which grow with context length.</t>
  </si>
  <si>
    <t>KV cache bytes per token, all GPUs</t>
  </si>
  <si>
    <t>2 (K and V) x layers x KV heads x head dim x bytes per element.</t>
  </si>
  <si>
    <t>KV cache bytes per token, per GPU</t>
  </si>
  <si>
    <t>KV heads are split across the tensor-parallel GPUs.</t>
  </si>
  <si>
    <t>KV cache per token, per GPU</t>
  </si>
  <si>
    <t>KiB</t>
  </si>
  <si>
    <t>Reserved VRAM per GPU, measured average</t>
  </si>
  <si>
    <t>Average of avg_mem_mib across all load points, converted from MiB.</t>
  </si>
  <si>
    <t>KV pool upper bound per GPU</t>
  </si>
  <si>
    <t>Reserved VRAM minus weights. Upper bound: CUDA graphs and activation buffers take some of it.</t>
  </si>
  <si>
    <t>Weight-read time per decode step, per GPU</t>
  </si>
  <si>
    <t>ms</t>
  </si>
  <si>
    <t>Bandwidth-bound floor: each decode step streams all weights from memory once.</t>
  </si>
  <si>
    <t>Compute time per token, per GPU, at est. peak</t>
  </si>
  <si>
    <t>microseconds</t>
  </si>
  <si>
    <t>FLOPs per token divided across the GPUs at the estimated dense FP8 peak.</t>
  </si>
  <si>
    <t>Ridge-point batch size</t>
  </si>
  <si>
    <t>sequences</t>
  </si>
  <si>
    <t>Concurrent sequences at which compute time per step equals weight-read time (at 100% of est. peak).</t>
  </si>
  <si>
    <t>input_len</t>
  </si>
  <si>
    <t>output_len</t>
  </si>
  <si>
    <t>rate_rps</t>
  </si>
  <si>
    <t>num_prompts</t>
  </si>
  <si>
    <t>elapsed_s</t>
  </si>
  <si>
    <t>mean_ttft_ms</t>
  </si>
  <si>
    <t>mean_tpot_ms</t>
  </si>
  <si>
    <t>output_throughput_tok_s</t>
  </si>
  <si>
    <t>avg_gpu_util_pct</t>
  </si>
  <si>
    <t>peak_gpu_util_pct</t>
  </si>
  <si>
    <t>avg_power_w</t>
  </si>
  <si>
    <t>peak_power_w</t>
  </si>
  <si>
    <t>avg_mem_mib</t>
  </si>
  <si>
    <t>peak_mem_mib</t>
  </si>
  <si>
    <t>avg_kv_cache_pct</t>
  </si>
  <si>
    <t>peak_kv_cache_pct</t>
  </si>
  <si>
    <t>dcgm_avg_GRACT</t>
  </si>
  <si>
    <t>dcgm_peak_GRACT</t>
  </si>
  <si>
    <t>dcgm_avg_SMACT</t>
  </si>
  <si>
    <t>dcgm_peak_SMACT</t>
  </si>
  <si>
    <t>dcgm_avg_SMOCC</t>
  </si>
  <si>
    <t>dcgm_peak_SMOCC</t>
  </si>
  <si>
    <t>dcgm_avg_TENSO</t>
  </si>
  <si>
    <t>dcgm_peak_TENSO</t>
  </si>
  <si>
    <t>dcgm_avg_DRAMA</t>
  </si>
  <si>
    <t>dcgm_peak_DRAMA</t>
  </si>
  <si>
    <t>dcgm_avg_PCITX_Bps</t>
  </si>
  <si>
    <t>dcgm_peak_PCITX_Bps</t>
  </si>
  <si>
    <t>dcgm_avg_PCIRX_Bps</t>
  </si>
  <si>
    <t>dcgm_peak_PCIRX_Bps</t>
  </si>
  <si>
    <t>context_tokens</t>
  </si>
  <si>
    <t>submission_window_s</t>
  </si>
  <si>
    <t>remainder_s</t>
  </si>
  <si>
    <t>achieved_rps</t>
  </si>
  <si>
    <t>pcie_tx_avg_GBps</t>
  </si>
  <si>
    <t>pcie_tx_peak_GBps</t>
  </si>
  <si>
    <t>pcie_rx_avg_GBps</t>
  </si>
  <si>
    <t>pcie_rx_peak_GBps</t>
  </si>
  <si>
    <t>pcie_tx_avg_pct_of_link</t>
  </si>
  <si>
    <t>pcie_rx_avg_pct_of_link</t>
  </si>
  <si>
    <t>pcie_tx_MB_per_token</t>
  </si>
  <si>
    <t>achieved_TFLOPS_total</t>
  </si>
  <si>
    <t>achieved_TFLOPS_per_GPU</t>
  </si>
  <si>
    <t>pct_of_est_dense_FP8_peak</t>
  </si>
  <si>
    <t>concurrent_seqs_littles_law</t>
  </si>
  <si>
    <t>kv_gib_avg_per_gpu</t>
  </si>
  <si>
    <t>kv_gib_peak_per_gpu</t>
  </si>
  <si>
    <t>tokens_per_joule</t>
  </si>
  <si>
    <t>occupancy_when_active</t>
  </si>
  <si>
    <t>Averages by output length</t>
  </si>
  <si>
    <t>Each row averages the 25 load points (5 input lengths x 5 rates) that share that output length. "max" columns take the maximum.</t>
  </si>
  <si>
    <t>Output throughput (tok/s)</t>
  </si>
  <si>
    <t>Mean TTFT (ms)</t>
  </si>
  <si>
    <t>Mean TPOT (ms)</t>
  </si>
  <si>
    <t>Elapsed (s)</t>
  </si>
  <si>
    <t>Elapsed minus arrival window (s)</t>
  </si>
  <si>
    <t>Avg GPU util (%)</t>
  </si>
  <si>
    <t>Avg power (W)</t>
  </si>
  <si>
    <t>GR engine active (avg)</t>
  </si>
  <si>
    <t>SM active (avg)</t>
  </si>
  <si>
    <t>SM occupancy (avg)</t>
  </si>
  <si>
    <t>Tensor active (avg)</t>
  </si>
  <si>
    <t>Tensor active (max peak)</t>
  </si>
  <si>
    <t>DRAM active (avg)</t>
  </si>
  <si>
    <t>PCIe TX avg (GB/s)</t>
  </si>
  <si>
    <t>PCIe TX peak (GB/s, max)</t>
  </si>
  <si>
    <t>PCIe RX avg (GB/s)</t>
  </si>
  <si>
    <t>PCIe RX peak (GB/s, max)</t>
  </si>
  <si>
    <t>KV cache in use, avg (%)</t>
  </si>
  <si>
    <t>KV cache in use, peak (%, max)</t>
  </si>
  <si>
    <t>PCIe TX per token (MB per GPU)</t>
  </si>
  <si>
    <t>Achieved TFLOPS per GPU</t>
  </si>
  <si>
    <t>% of est. dense FP8 peak</t>
  </si>
  <si>
    <t>Concurrent sequences (Little)</t>
  </si>
  <si>
    <t>Tokens per joule</t>
  </si>
  <si>
    <t>Averages by input length</t>
  </si>
  <si>
    <t>Each row averages the 30 load points (6 output lengths x 5 rates) that share that input length.</t>
  </si>
  <si>
    <t>Averages by request rate</t>
  </si>
  <si>
    <t>Each row averages the 30 load points that share that request rate. Compare "Elapsed minus arrival window", not raw elapsed time.</t>
  </si>
  <si>
    <t>Request-rate effect: full grids behind Section 3 of the report</t>
  </si>
  <si>
    <t>Each cell averages the load points that share the row and column values (for the output-length grids, the mean of the five input lengths). Every cell is a formula over the Data sheet.</t>
  </si>
  <si>
    <t>Mean time to first token (ms), by output length and request rate</t>
  </si>
  <si>
    <t>Output length</t>
  </si>
  <si>
    <t>Mean time to first token (ms), 10,240-token outputs only, by input length and request rate</t>
  </si>
  <si>
    <t>Input length</t>
  </si>
  <si>
    <t>Tokens per joule (4-GPU average power), by output length and request rate</t>
  </si>
  <si>
    <t>Mean time per output token (ms), by output length and request rate</t>
  </si>
  <si>
    <t>Average power per GPU (W), by output length and request rate</t>
  </si>
  <si>
    <t>SM active (average fraction), by output length and request rate</t>
  </si>
  <si>
    <t>How tightly TTFT clusters outside the 10,240-token outputs</t>
  </si>
  <si>
    <t>Load points with output length below 10,240</t>
  </si>
  <si>
    <t xml:space="preserve">  of which TTFT between 85 and 125 ms</t>
  </si>
  <si>
    <t xml:space="preserve">  share of those load points</t>
  </si>
  <si>
    <t xml:space="preserve">  load points above 125 ms</t>
  </si>
  <si>
    <t>Minimum TTFT (ms), same load points</t>
  </si>
  <si>
    <t>Maximum TTFT (ms), same load points</t>
  </si>
  <si>
    <t>Maximum TTFT (ms), all 150 load points</t>
  </si>
  <si>
    <t>KV cache capacity by context length</t>
  </si>
  <si>
    <t>Worst case: every sequence at full context at the same moment. Observed peak KV usage was lower because sequences are at different stages and output lengths vary by about +/-30% around the nominal value.</t>
  </si>
  <si>
    <t>Case</t>
  </si>
  <si>
    <t>Context tokens (input + output)</t>
  </si>
  <si>
    <t>KV per sequence per GPU (GiB)</t>
  </si>
  <si>
    <t>Sequences that fit in the KV pool (upper bound)</t>
  </si>
  <si>
    <t>Pool fill with 100 concurrent sequences</t>
  </si>
  <si>
    <t>Fits 100 concurrent?</t>
  </si>
  <si>
    <t>in 128 + out 128</t>
  </si>
  <si>
    <t>in 128 + out 512</t>
  </si>
  <si>
    <t>in 128 + out 1,024</t>
  </si>
  <si>
    <t>in 128 + out 2,048</t>
  </si>
  <si>
    <t>in 128 + out 5,120</t>
  </si>
  <si>
    <t>in 128 + out 10,240</t>
  </si>
  <si>
    <t>in 1,024 + out 10,240</t>
  </si>
  <si>
    <t>max-model-len (server limit)</t>
  </si>
  <si>
    <t>Maximum Throughput</t>
  </si>
  <si>
    <t>Compute-bound ceiling = GPUs x est. dense FP8 peak x efficiency / FLOPs per token. It is reachable only with batches near or above the ridge point, and ignores memory, PCIe and scheduling limits.</t>
  </si>
  <si>
    <t>Measured average output throughput (tok/s)</t>
  </si>
  <si>
    <t>Measured average tensor-active duty</t>
  </si>
  <si>
    <t>Measured average concurrent sequences</t>
  </si>
  <si>
    <t>Ridge-point batch size (from Assumptions)</t>
  </si>
  <si>
    <t>Scenario</t>
  </si>
  <si>
    <t>Efficiency of est. dense FP8 peak</t>
  </si>
  <si>
    <t>Ceiling (tok/s)</t>
  </si>
  <si>
    <t>Multiple of measured throughput</t>
  </si>
  <si>
    <t>Measured (average of load points)</t>
  </si>
  <si>
    <t>Moderate: 25% of peak</t>
  </si>
  <si>
    <t>Good: 50% of peak</t>
  </si>
  <si>
    <t>Good: 60% of peak</t>
  </si>
  <si>
    <t>Theoretical: 100% of peak</t>
  </si>
  <si>
    <t>Naive extrapolation (shown for contrast, not a valid scaling law)</t>
  </si>
  <si>
    <t>Scale until tensor-active duty reaches 90%</t>
  </si>
  <si>
    <t>Why the naive row overstates or misleads: tensor-active is a duty cycle. The tensor cores idle while waiting on weight reads, KV-cache reads, PCIe all-reduces and scheduling, and several of those grow with batch size. Throughput gains come from larger batches, and the batch is limited by KV-cache memory at long contexts (see KV_Capacity).</t>
  </si>
  <si>
    <t>PCIe-limited estimate (all-reduce traffic scales with tokens generated)</t>
  </si>
  <si>
    <t>PCIe TX per generated token per GPU (MB), load points with output length &gt;= 512</t>
  </si>
  <si>
    <t>PCIe-limited ceiling (tok/s) = link speed / traffic per token</t>
  </si>
  <si>
    <t>Multiple of measured average throughput</t>
  </si>
  <si>
    <t>Dense FP8 peak (1,000 TFLOPS per GPU) is an estimate. The PCIe link capability (5.0 x16, 63 GB/s per direction) was confirmed with nvidia-smi; achievable bandwidth is typically 80 to 85% of it. Both are labelled on Assumptions. Percentages built on them inherit that uncertainty.</t>
  </si>
  <si>
    <t>PCIe link, theoretical per direction</t>
  </si>
  <si>
    <t>PCIe 5.0 x16 per GPU, confirmed with nvidia-smi (max generation 5, width 16 on all 8 GPUs). 63 GB/s is the theoretical peak per direction; achievable throughput is typically 80 to 85% of it.</t>
  </si>
  <si>
    <t>Assumes the PCIe links run at the theoretical rate on Assumptions!B13 (link capability confirmed with nvidia-smi) and that traffic per token stays constant as the batch grows. If the links run below peak (typically 80 to 85%), or traffic per token rises, the ceiling is lower.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</si>
</sst>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0.000"/>
    <numFmt numFmtId="167" formatCode="0.0%"/>
    <numFmt numFmtId="168" formatCode="0&quot; req/s&quot;"/>
    <numFmt numFmtId="169" formatCode="0.0\x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2E7D4F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1" fontId="5" fillId="3" borderId="0" xfId="0" applyNumberFormat="1" applyFont="1" applyFill="1"/>
    <xf numFmtId="1" fontId="5" fillId="3" borderId="0" xfId="0" applyNumberFormat="1" applyFont="1" applyFill="1"/>
    <xf numFmtId="2" fontId="5" fillId="3" borderId="0" xfId="0" applyNumberFormat="1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2" fillId="4" borderId="0" xfId="0" applyFont="1" applyFill="1"/>
    <xf numFmtId="0" fontId="0" fillId="4" borderId="0" xfId="0" applyFill="1"/>
    <xf numFmtId="3" fontId="3" fillId="0" borderId="0" xfId="0" applyNumberFormat="1" applyFont="1"/>
    <xf numFmtId="164" fontId="3" fillId="0" borderId="0" xfId="0" applyNumberFormat="1" applyFont="1"/>
    <xf numFmtId="0" fontId="4" fillId="5" borderId="0" xfId="0" applyFont="1" applyFill="1" applyAlignment="1">
      <alignment horizontal="center" vertical="center" wrapText="1"/>
    </xf>
    <xf numFmtId="1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  <xf numFmtId="3" fontId="5" fillId="0" borderId="0" xfId="0" applyNumberFormat="1" applyFont="1"/>
    <xf numFmtId="168" fontId="4" fillId="2" borderId="0" xfId="0" applyNumberFormat="1" applyFont="1" applyFill="1" applyAlignment="1">
      <alignment horizontal="center" vertical="center" wrapText="1"/>
    </xf>
    <xf numFmtId="9" fontId="3" fillId="0" borderId="0" xfId="0" applyNumberFormat="1" applyFont="1"/>
    <xf numFmtId="169" fontId="3" fillId="0" borderId="0" xfId="0" applyNumberFormat="1" applyFont="1"/>
    <xf numFmtId="167" fontId="5" fillId="3" borderId="0" xfId="0" applyNumberFormat="1" applyFont="1" applyFill="1"/>
    <xf numFmtId="0" fontId="2" fillId="0" borderId="0" xfId="0" applyFont="1"/>
    <xf numFmtId="9" fontId="5" fillId="3" borderId="0" xfId="0" applyNumberFormat="1" applyFont="1" applyFill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2E7D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A11" zoomScaleNormal="100" workbookViewId="0">
      <selection activeCell="B13" sqref="B13"/>
    </sheetView>
  </sheetViews>
  <sheetFormatPr baseColWidth="10" defaultColWidth="8.6640625" defaultRowHeight="15" x14ac:dyDescent="0.2"/>
  <cols>
    <col min="1" max="1" width="18" customWidth="1"/>
    <col min="2" max="2" width="120" customWidth="1"/>
  </cols>
  <sheetData>
    <row r="1" spans="1:2" ht="18" x14ac:dyDescent="0.2">
      <c r="A1" s="2" t="s">
        <v>0</v>
      </c>
    </row>
    <row r="3" spans="1:2" ht="30" customHeight="1" x14ac:dyDescent="0.2">
      <c r="A3" s="3" t="s">
        <v>1</v>
      </c>
      <c r="B3" s="1" t="s">
        <v>2</v>
      </c>
    </row>
    <row r="4" spans="1:2" ht="75" customHeight="1" x14ac:dyDescent="0.2">
      <c r="A4" s="3" t="s">
        <v>3</v>
      </c>
      <c r="B4" s="1" t="s">
        <v>4</v>
      </c>
    </row>
    <row r="5" spans="1:2" ht="30" customHeight="1" x14ac:dyDescent="0.2">
      <c r="A5" s="3" t="s">
        <v>5</v>
      </c>
      <c r="B5" s="1" t="s">
        <v>6</v>
      </c>
    </row>
    <row r="6" spans="1:2" ht="30" customHeight="1" x14ac:dyDescent="0.2">
      <c r="A6" s="3" t="s">
        <v>7</v>
      </c>
      <c r="B6" s="1" t="s">
        <v>8</v>
      </c>
    </row>
    <row r="7" spans="1:2" ht="45" customHeight="1" x14ac:dyDescent="0.2">
      <c r="A7" s="3" t="s">
        <v>9</v>
      </c>
      <c r="B7" s="1" t="s">
        <v>10</v>
      </c>
    </row>
    <row r="8" spans="1:2" ht="30" customHeight="1" x14ac:dyDescent="0.2">
      <c r="A8" s="3" t="s">
        <v>11</v>
      </c>
      <c r="B8" s="1" t="s">
        <v>12</v>
      </c>
    </row>
    <row r="9" spans="1:2" ht="30" customHeight="1" x14ac:dyDescent="0.2">
      <c r="A9" s="3" t="s">
        <v>13</v>
      </c>
      <c r="B9" s="1" t="s">
        <v>14</v>
      </c>
    </row>
    <row r="10" spans="1:2" ht="30" customHeight="1" x14ac:dyDescent="0.2">
      <c r="A10" s="3" t="s">
        <v>15</v>
      </c>
      <c r="B10" s="1" t="s">
        <v>16</v>
      </c>
    </row>
    <row r="11" spans="1:2" ht="30" customHeight="1" x14ac:dyDescent="0.2">
      <c r="A11" s="3" t="s">
        <v>17</v>
      </c>
      <c r="B11" s="1" t="s">
        <v>18</v>
      </c>
    </row>
    <row r="12" spans="1:2" ht="30" customHeight="1" x14ac:dyDescent="0.2">
      <c r="A12" s="3" t="s">
        <v>19</v>
      </c>
      <c r="B12" s="1" t="s">
        <v>225</v>
      </c>
    </row>
    <row r="13" spans="1:2" ht="30" customHeight="1" x14ac:dyDescent="0.2">
      <c r="A13" s="3" t="s">
        <v>20</v>
      </c>
      <c r="B13" s="1" t="s">
        <v>21</v>
      </c>
    </row>
    <row r="14" spans="1:2" ht="45" customHeight="1" x14ac:dyDescent="0.2">
      <c r="A14" s="3" t="s">
        <v>22</v>
      </c>
      <c r="B14" s="1" t="s">
        <v>23</v>
      </c>
    </row>
    <row r="15" spans="1:2" ht="30" customHeight="1" x14ac:dyDescent="0.2">
      <c r="A15" s="3" t="s">
        <v>24</v>
      </c>
      <c r="B15" s="1" t="s">
        <v>25</v>
      </c>
    </row>
    <row r="16" spans="1:2" ht="30" customHeight="1" x14ac:dyDescent="0.2">
      <c r="A16" s="3" t="s">
        <v>26</v>
      </c>
      <c r="B16" s="1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zoomScaleNormal="100" workbookViewId="0">
      <pane ySplit="3" topLeftCell="A4" activePane="bottomLeft" state="frozen"/>
      <selection pane="bottomLeft" activeCell="D13" sqref="D13"/>
    </sheetView>
  </sheetViews>
  <sheetFormatPr baseColWidth="10" defaultColWidth="8.6640625" defaultRowHeight="15" x14ac:dyDescent="0.2"/>
  <cols>
    <col min="1" max="1" width="46" customWidth="1"/>
    <col min="2" max="3" width="14" customWidth="1"/>
    <col min="4" max="4" width="11" customWidth="1"/>
    <col min="5" max="5" width="95" customWidth="1"/>
  </cols>
  <sheetData>
    <row r="1" spans="1:5" ht="18" x14ac:dyDescent="0.2">
      <c r="A1" s="2" t="s">
        <v>28</v>
      </c>
    </row>
    <row r="2" spans="1:5" x14ac:dyDescent="0.2">
      <c r="A2" s="4" t="s">
        <v>29</v>
      </c>
    </row>
    <row r="3" spans="1:5" x14ac:dyDescent="0.2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</row>
    <row r="4" spans="1:5" x14ac:dyDescent="0.2">
      <c r="A4" s="4" t="s">
        <v>35</v>
      </c>
      <c r="B4" s="6">
        <v>70000000000</v>
      </c>
      <c r="C4" s="4" t="s">
        <v>36</v>
      </c>
      <c r="D4" s="4" t="s">
        <v>37</v>
      </c>
      <c r="E4" s="1" t="s">
        <v>38</v>
      </c>
    </row>
    <row r="5" spans="1:5" x14ac:dyDescent="0.2">
      <c r="A5" s="4" t="s">
        <v>39</v>
      </c>
      <c r="B5" s="7">
        <v>80</v>
      </c>
      <c r="C5" s="4" t="s">
        <v>40</v>
      </c>
      <c r="D5" s="4" t="s">
        <v>37</v>
      </c>
      <c r="E5" s="1" t="s">
        <v>41</v>
      </c>
    </row>
    <row r="6" spans="1:5" x14ac:dyDescent="0.2">
      <c r="A6" s="4" t="s">
        <v>42</v>
      </c>
      <c r="B6" s="7">
        <v>8</v>
      </c>
      <c r="C6" s="4" t="s">
        <v>43</v>
      </c>
      <c r="D6" s="4" t="s">
        <v>37</v>
      </c>
      <c r="E6" s="1" t="s">
        <v>44</v>
      </c>
    </row>
    <row r="7" spans="1:5" x14ac:dyDescent="0.2">
      <c r="A7" s="4" t="s">
        <v>45</v>
      </c>
      <c r="B7" s="7">
        <v>128</v>
      </c>
      <c r="C7" s="4" t="s">
        <v>46</v>
      </c>
      <c r="D7" s="4" t="s">
        <v>37</v>
      </c>
      <c r="E7" s="1" t="s">
        <v>47</v>
      </c>
    </row>
    <row r="8" spans="1:5" x14ac:dyDescent="0.2">
      <c r="A8" s="4" t="s">
        <v>48</v>
      </c>
      <c r="B8" s="7">
        <v>2</v>
      </c>
      <c r="C8" s="4" t="s">
        <v>49</v>
      </c>
      <c r="D8" s="4" t="s">
        <v>37</v>
      </c>
      <c r="E8" s="1" t="s">
        <v>50</v>
      </c>
    </row>
    <row r="9" spans="1:5" x14ac:dyDescent="0.2">
      <c r="A9" s="4" t="s">
        <v>51</v>
      </c>
      <c r="B9" s="7">
        <v>4</v>
      </c>
      <c r="C9" s="4" t="s">
        <v>52</v>
      </c>
      <c r="D9" s="4" t="s">
        <v>37</v>
      </c>
      <c r="E9" s="1" t="s">
        <v>53</v>
      </c>
    </row>
    <row r="10" spans="1:5" x14ac:dyDescent="0.2">
      <c r="A10" s="4" t="s">
        <v>54</v>
      </c>
      <c r="B10" s="8">
        <v>16.98</v>
      </c>
      <c r="C10" s="4" t="s">
        <v>55</v>
      </c>
      <c r="D10" s="4" t="s">
        <v>37</v>
      </c>
      <c r="E10" s="1" t="s">
        <v>56</v>
      </c>
    </row>
    <row r="11" spans="1:5" ht="28" x14ac:dyDescent="0.2">
      <c r="A11" s="4" t="s">
        <v>57</v>
      </c>
      <c r="B11" s="9">
        <v>1000</v>
      </c>
      <c r="C11" s="4" t="s">
        <v>58</v>
      </c>
      <c r="D11" s="4" t="s">
        <v>59</v>
      </c>
      <c r="E11" s="1" t="s">
        <v>60</v>
      </c>
    </row>
    <row r="12" spans="1:5" x14ac:dyDescent="0.2">
      <c r="A12" s="4" t="s">
        <v>61</v>
      </c>
      <c r="B12" s="10">
        <v>1.6</v>
      </c>
      <c r="C12" s="4" t="s">
        <v>62</v>
      </c>
      <c r="D12" s="4" t="s">
        <v>37</v>
      </c>
      <c r="E12" s="1" t="s">
        <v>63</v>
      </c>
    </row>
    <row r="13" spans="1:5" ht="28" x14ac:dyDescent="0.2">
      <c r="A13" s="4" t="s">
        <v>226</v>
      </c>
      <c r="B13" s="7">
        <v>63</v>
      </c>
      <c r="C13" s="4" t="s">
        <v>64</v>
      </c>
      <c r="D13" s="4" t="s">
        <v>65</v>
      </c>
      <c r="E13" s="1" t="s">
        <v>227</v>
      </c>
    </row>
    <row r="15" spans="1:5" x14ac:dyDescent="0.2">
      <c r="A15" s="11" t="s">
        <v>66</v>
      </c>
      <c r="B15" s="12"/>
      <c r="C15" s="12"/>
      <c r="D15" s="12"/>
      <c r="E15" s="12"/>
    </row>
    <row r="16" spans="1:5" x14ac:dyDescent="0.2">
      <c r="A16" s="4" t="s">
        <v>67</v>
      </c>
      <c r="B16" s="13">
        <f>2*B4</f>
        <v>140000000000</v>
      </c>
      <c r="C16" s="4" t="s">
        <v>68</v>
      </c>
      <c r="D16" s="4" t="s">
        <v>69</v>
      </c>
      <c r="E16" s="1" t="s">
        <v>70</v>
      </c>
    </row>
    <row r="17" spans="1:5" x14ac:dyDescent="0.2">
      <c r="A17" s="4" t="s">
        <v>71</v>
      </c>
      <c r="B17" s="13">
        <f>2*B5*B6*B7*B8</f>
        <v>327680</v>
      </c>
      <c r="C17" s="4" t="s">
        <v>49</v>
      </c>
      <c r="D17" s="4" t="s">
        <v>69</v>
      </c>
      <c r="E17" s="1" t="s">
        <v>72</v>
      </c>
    </row>
    <row r="18" spans="1:5" x14ac:dyDescent="0.2">
      <c r="A18" s="4" t="s">
        <v>73</v>
      </c>
      <c r="B18" s="13">
        <f>B17/B9</f>
        <v>81920</v>
      </c>
      <c r="C18" s="4" t="s">
        <v>49</v>
      </c>
      <c r="D18" s="4" t="s">
        <v>69</v>
      </c>
      <c r="E18" s="1" t="s">
        <v>74</v>
      </c>
    </row>
    <row r="19" spans="1:5" x14ac:dyDescent="0.2">
      <c r="A19" s="4" t="s">
        <v>75</v>
      </c>
      <c r="B19" s="14">
        <f>B18/1024</f>
        <v>80</v>
      </c>
      <c r="C19" s="4" t="s">
        <v>76</v>
      </c>
      <c r="D19" s="4" t="s">
        <v>69</v>
      </c>
      <c r="E19" s="1"/>
    </row>
    <row r="20" spans="1:5" x14ac:dyDescent="0.2">
      <c r="A20" s="4" t="s">
        <v>77</v>
      </c>
      <c r="B20" s="14">
        <f>AVERAGE(Data!$M$2:$M$151)/1024</f>
        <v>85.176069661458328</v>
      </c>
      <c r="C20" s="4" t="s">
        <v>55</v>
      </c>
      <c r="D20" s="4" t="s">
        <v>69</v>
      </c>
      <c r="E20" s="1" t="s">
        <v>78</v>
      </c>
    </row>
    <row r="21" spans="1:5" x14ac:dyDescent="0.2">
      <c r="A21" s="4" t="s">
        <v>79</v>
      </c>
      <c r="B21" s="14">
        <f>B20-B10</f>
        <v>68.196069661458324</v>
      </c>
      <c r="C21" s="4" t="s">
        <v>55</v>
      </c>
      <c r="D21" s="4" t="s">
        <v>69</v>
      </c>
      <c r="E21" s="1" t="s">
        <v>80</v>
      </c>
    </row>
    <row r="22" spans="1:5" x14ac:dyDescent="0.2">
      <c r="A22" s="4" t="s">
        <v>81</v>
      </c>
      <c r="B22" s="14">
        <f>B10*2^30/(B12*1000000000000)*1000</f>
        <v>11.3950851072</v>
      </c>
      <c r="C22" s="4" t="s">
        <v>82</v>
      </c>
      <c r="D22" s="4" t="s">
        <v>69</v>
      </c>
      <c r="E22" s="1" t="s">
        <v>83</v>
      </c>
    </row>
    <row r="23" spans="1:5" x14ac:dyDescent="0.2">
      <c r="A23" s="4" t="s">
        <v>84</v>
      </c>
      <c r="B23" s="14">
        <f>B16/B9/(B11*1000000000000)*1000000</f>
        <v>35</v>
      </c>
      <c r="C23" s="4" t="s">
        <v>85</v>
      </c>
      <c r="D23" s="4" t="s">
        <v>69</v>
      </c>
      <c r="E23" s="1" t="s">
        <v>86</v>
      </c>
    </row>
    <row r="24" spans="1:5" x14ac:dyDescent="0.2">
      <c r="A24" s="4" t="s">
        <v>87</v>
      </c>
      <c r="B24" s="13">
        <f>B22*1000/B23</f>
        <v>325.57386020571431</v>
      </c>
      <c r="C24" s="4" t="s">
        <v>88</v>
      </c>
      <c r="D24" s="4" t="s">
        <v>69</v>
      </c>
      <c r="E24" s="1" t="s">
        <v>89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5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9" customWidth="1"/>
    <col min="2" max="2" width="10" customWidth="1"/>
    <col min="3" max="3" width="9" customWidth="1"/>
    <col min="4" max="4" width="11" customWidth="1"/>
    <col min="5" max="5" width="10" customWidth="1"/>
    <col min="6" max="7" width="12" customWidth="1"/>
    <col min="8" max="8" width="14" customWidth="1"/>
    <col min="9" max="10" width="12" customWidth="1"/>
    <col min="11" max="14" width="11" customWidth="1"/>
    <col min="15" max="16" width="12" customWidth="1"/>
    <col min="17" max="26" width="11" customWidth="1"/>
    <col min="27" max="30" width="16" customWidth="1"/>
    <col min="31" max="31" width="11" customWidth="1"/>
    <col min="32" max="32" width="12" customWidth="1"/>
    <col min="33" max="34" width="11" customWidth="1"/>
    <col min="35" max="38" width="12" customWidth="1"/>
    <col min="39" max="40" width="13" customWidth="1"/>
    <col min="41" max="41" width="14" customWidth="1"/>
    <col min="42" max="44" width="13" customWidth="1"/>
    <col min="45" max="45" width="14" customWidth="1"/>
    <col min="46" max="48" width="12" customWidth="1"/>
    <col min="49" max="49" width="13" customWidth="1"/>
  </cols>
  <sheetData>
    <row r="1" spans="1:49" ht="43.5" customHeight="1" x14ac:dyDescent="0.2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5" t="s">
        <v>110</v>
      </c>
      <c r="V1" s="5" t="s">
        <v>111</v>
      </c>
      <c r="W1" s="5" t="s">
        <v>112</v>
      </c>
      <c r="X1" s="5" t="s">
        <v>113</v>
      </c>
      <c r="Y1" s="5" t="s">
        <v>114</v>
      </c>
      <c r="Z1" s="5" t="s">
        <v>115</v>
      </c>
      <c r="AA1" s="5" t="s">
        <v>116</v>
      </c>
      <c r="AB1" s="5" t="s">
        <v>117</v>
      </c>
      <c r="AC1" s="5" t="s">
        <v>118</v>
      </c>
      <c r="AD1" s="5" t="s">
        <v>119</v>
      </c>
      <c r="AE1" s="15" t="s">
        <v>120</v>
      </c>
      <c r="AF1" s="15" t="s">
        <v>121</v>
      </c>
      <c r="AG1" s="15" t="s">
        <v>122</v>
      </c>
      <c r="AH1" s="15" t="s">
        <v>123</v>
      </c>
      <c r="AI1" s="15" t="s">
        <v>124</v>
      </c>
      <c r="AJ1" s="15" t="s">
        <v>125</v>
      </c>
      <c r="AK1" s="15" t="s">
        <v>126</v>
      </c>
      <c r="AL1" s="15" t="s">
        <v>127</v>
      </c>
      <c r="AM1" s="15" t="s">
        <v>128</v>
      </c>
      <c r="AN1" s="15" t="s">
        <v>129</v>
      </c>
      <c r="AO1" s="15" t="s">
        <v>130</v>
      </c>
      <c r="AP1" s="15" t="s">
        <v>131</v>
      </c>
      <c r="AQ1" s="15" t="s">
        <v>132</v>
      </c>
      <c r="AR1" s="15" t="s">
        <v>133</v>
      </c>
      <c r="AS1" s="15" t="s">
        <v>134</v>
      </c>
      <c r="AT1" s="15" t="s">
        <v>135</v>
      </c>
      <c r="AU1" s="15" t="s">
        <v>136</v>
      </c>
      <c r="AV1" s="15" t="s">
        <v>137</v>
      </c>
      <c r="AW1" s="15" t="s">
        <v>138</v>
      </c>
    </row>
    <row r="2" spans="1:49" x14ac:dyDescent="0.2">
      <c r="A2" s="16">
        <v>128</v>
      </c>
      <c r="B2" s="16">
        <v>128</v>
      </c>
      <c r="C2" s="16">
        <v>5</v>
      </c>
      <c r="D2" s="16">
        <v>100</v>
      </c>
      <c r="E2" s="16">
        <v>31</v>
      </c>
      <c r="F2" s="17">
        <v>96.453045872040093</v>
      </c>
      <c r="G2" s="14">
        <v>28.784747774712599</v>
      </c>
      <c r="H2" s="17">
        <v>531.19701477988997</v>
      </c>
      <c r="I2" s="14">
        <v>79.2</v>
      </c>
      <c r="J2" s="16">
        <v>99</v>
      </c>
      <c r="K2" s="14">
        <v>220.9</v>
      </c>
      <c r="L2" s="14">
        <v>282.39999999999998</v>
      </c>
      <c r="M2" s="13">
        <v>86932.5</v>
      </c>
      <c r="N2" s="13">
        <v>86933</v>
      </c>
      <c r="O2" s="14">
        <v>0.55000000000000004</v>
      </c>
      <c r="P2" s="14">
        <v>0.6</v>
      </c>
      <c r="Q2" s="18">
        <v>0.80374999999999996</v>
      </c>
      <c r="R2" s="18">
        <v>0.99199999999999999</v>
      </c>
      <c r="S2" s="18">
        <v>0.35073333333333301</v>
      </c>
      <c r="T2" s="18">
        <v>0.48699999999999999</v>
      </c>
      <c r="U2" s="18">
        <v>3.3649999999999999E-2</v>
      </c>
      <c r="V2" s="18">
        <v>4.8000000000000001E-2</v>
      </c>
      <c r="W2" s="18">
        <v>8.0149999999999999E-2</v>
      </c>
      <c r="X2" s="18">
        <v>0.112</v>
      </c>
      <c r="Y2" s="18">
        <v>0.332116666666667</v>
      </c>
      <c r="Z2" s="18">
        <v>0.49199999999999999</v>
      </c>
      <c r="AA2" s="13">
        <v>7259092924.6999998</v>
      </c>
      <c r="AB2" s="13">
        <v>12030579841</v>
      </c>
      <c r="AC2" s="13">
        <v>6455470565.9333296</v>
      </c>
      <c r="AD2" s="13">
        <v>10634238760</v>
      </c>
      <c r="AE2" s="13">
        <f t="shared" ref="AE2:AE33" si="0">A2+B2</f>
        <v>256</v>
      </c>
      <c r="AF2" s="14">
        <f t="shared" ref="AF2:AF33" si="1">D2/C2</f>
        <v>20</v>
      </c>
      <c r="AG2" s="14">
        <f t="shared" ref="AG2:AG33" si="2">E2-AF2</f>
        <v>11</v>
      </c>
      <c r="AH2" s="19">
        <f t="shared" ref="AH2:AH33" si="3">D2/E2</f>
        <v>3.225806451612903</v>
      </c>
      <c r="AI2" s="19">
        <f t="shared" ref="AI2:AI33" si="4">AA2/1000000000</f>
        <v>7.2590929247</v>
      </c>
      <c r="AJ2" s="19">
        <f t="shared" ref="AJ2:AJ33" si="5">AB2/1000000000</f>
        <v>12.030579841</v>
      </c>
      <c r="AK2" s="19">
        <f t="shared" ref="AK2:AK33" si="6">AC2/1000000000</f>
        <v>6.4554705659333296</v>
      </c>
      <c r="AL2" s="19">
        <f t="shared" ref="AL2:AL33" si="7">AD2/1000000000</f>
        <v>10.634238760000001</v>
      </c>
      <c r="AM2" s="20">
        <f>AI2/Assumptions!$B$13</f>
        <v>0.11522369721746031</v>
      </c>
      <c r="AN2" s="20">
        <f>AK2/Assumptions!$B$13</f>
        <v>0.1024677867608465</v>
      </c>
      <c r="AO2" s="19">
        <f t="shared" ref="AO2:AO33" si="8">AA2/H2/1000000</f>
        <v>13.665537875260693</v>
      </c>
      <c r="AP2" s="17">
        <f>H2*Assumptions!$B$16/1000000000000</f>
        <v>74.367582069184593</v>
      </c>
      <c r="AQ2" s="14">
        <f>AP2/Assumptions!$B$9</f>
        <v>18.591895517296148</v>
      </c>
      <c r="AR2" s="20">
        <f>AQ2/Assumptions!$B$11</f>
        <v>1.8591895517296148E-2</v>
      </c>
      <c r="AS2" s="14">
        <f t="shared" ref="AS2:AS33" si="9">H2*G2/1000</f>
        <v>15.290372089119414</v>
      </c>
      <c r="AT2" s="14">
        <f>Assumptions!$B$21*O2/100</f>
        <v>0.37507838313802083</v>
      </c>
      <c r="AU2" s="14">
        <f>Assumptions!$B$21*P2/100</f>
        <v>0.40917641796874998</v>
      </c>
      <c r="AV2" s="18">
        <f>H2/(K2*Assumptions!$B$9)</f>
        <v>0.60117362469430735</v>
      </c>
      <c r="AW2" s="18">
        <f t="shared" ref="AW2:AW33" si="10">U2/S2</f>
        <v>9.5941836152822743E-2</v>
      </c>
    </row>
    <row r="3" spans="1:49" x14ac:dyDescent="0.2">
      <c r="A3" s="16">
        <v>128</v>
      </c>
      <c r="B3" s="16">
        <v>128</v>
      </c>
      <c r="C3" s="16">
        <v>10</v>
      </c>
      <c r="D3" s="16">
        <v>100</v>
      </c>
      <c r="E3" s="16">
        <v>21</v>
      </c>
      <c r="F3" s="17">
        <v>86.252235678257406</v>
      </c>
      <c r="G3" s="14">
        <v>33.081641020690299</v>
      </c>
      <c r="H3" s="17">
        <v>880.39513910327605</v>
      </c>
      <c r="I3" s="14">
        <v>71</v>
      </c>
      <c r="J3" s="16">
        <v>100</v>
      </c>
      <c r="K3" s="14">
        <v>194.8</v>
      </c>
      <c r="L3" s="14">
        <v>275</v>
      </c>
      <c r="M3" s="13">
        <v>86933</v>
      </c>
      <c r="N3" s="13">
        <v>86933</v>
      </c>
      <c r="O3" s="14">
        <v>0.6</v>
      </c>
      <c r="P3" s="14">
        <v>1.2</v>
      </c>
      <c r="Q3" s="18">
        <v>0.7369</v>
      </c>
      <c r="R3" s="18">
        <v>0.99299999999999999</v>
      </c>
      <c r="S3" s="18">
        <v>0.28452499999999997</v>
      </c>
      <c r="T3" s="18">
        <v>0.50600000000000001</v>
      </c>
      <c r="U3" s="18">
        <v>2.4924999999999999E-2</v>
      </c>
      <c r="V3" s="18">
        <v>4.9000000000000002E-2</v>
      </c>
      <c r="W3" s="18">
        <v>6.0075000000000003E-2</v>
      </c>
      <c r="X3" s="18">
        <v>8.7999999999999995E-2</v>
      </c>
      <c r="Y3" s="18">
        <v>0.28007500000000002</v>
      </c>
      <c r="Z3" s="18">
        <v>0.496</v>
      </c>
      <c r="AA3" s="13">
        <v>7583092703.3500004</v>
      </c>
      <c r="AB3" s="13">
        <v>13627019743</v>
      </c>
      <c r="AC3" s="13">
        <v>6754151236.1499996</v>
      </c>
      <c r="AD3" s="13">
        <v>12239289773</v>
      </c>
      <c r="AE3" s="13">
        <f t="shared" si="0"/>
        <v>256</v>
      </c>
      <c r="AF3" s="14">
        <f t="shared" si="1"/>
        <v>10</v>
      </c>
      <c r="AG3" s="14">
        <f t="shared" si="2"/>
        <v>11</v>
      </c>
      <c r="AH3" s="19">
        <f t="shared" si="3"/>
        <v>4.7619047619047619</v>
      </c>
      <c r="AI3" s="19">
        <f t="shared" si="4"/>
        <v>7.5830927033500002</v>
      </c>
      <c r="AJ3" s="19">
        <f t="shared" si="5"/>
        <v>13.627019743</v>
      </c>
      <c r="AK3" s="19">
        <f t="shared" si="6"/>
        <v>6.7541512361499993</v>
      </c>
      <c r="AL3" s="19">
        <f t="shared" si="7"/>
        <v>12.239289772999999</v>
      </c>
      <c r="AM3" s="20">
        <f>AI3/Assumptions!$B$13</f>
        <v>0.1203665508468254</v>
      </c>
      <c r="AN3" s="20">
        <f>AK3/Assumptions!$B$13</f>
        <v>0.10720874978015872</v>
      </c>
      <c r="AO3" s="19">
        <f t="shared" si="8"/>
        <v>8.6132832481035031</v>
      </c>
      <c r="AP3" s="17">
        <f>H3*Assumptions!$B$16/1000000000000</f>
        <v>123.25531947445864</v>
      </c>
      <c r="AQ3" s="14">
        <f>AP3/Assumptions!$B$9</f>
        <v>30.813829868614661</v>
      </c>
      <c r="AR3" s="20">
        <f>AQ3/Assumptions!$B$11</f>
        <v>3.081382986861466E-2</v>
      </c>
      <c r="AS3" s="14">
        <f t="shared" si="9"/>
        <v>29.124915948175278</v>
      </c>
      <c r="AT3" s="14">
        <f>Assumptions!$B$21*O3/100</f>
        <v>0.40917641796874998</v>
      </c>
      <c r="AU3" s="14">
        <f>Assumptions!$B$21*P3/100</f>
        <v>0.81835283593749997</v>
      </c>
      <c r="AV3" s="18">
        <f>H3/(K3*Assumptions!$B$9)</f>
        <v>1.1298705583974282</v>
      </c>
      <c r="AW3" s="18">
        <f t="shared" si="10"/>
        <v>8.7602143924084011E-2</v>
      </c>
    </row>
    <row r="4" spans="1:49" x14ac:dyDescent="0.2">
      <c r="A4" s="16">
        <v>128</v>
      </c>
      <c r="B4" s="16">
        <v>128</v>
      </c>
      <c r="C4" s="16">
        <v>20</v>
      </c>
      <c r="D4" s="16">
        <v>100</v>
      </c>
      <c r="E4" s="16">
        <v>17</v>
      </c>
      <c r="F4" s="17">
        <v>89.885704754851801</v>
      </c>
      <c r="G4" s="14">
        <v>35.893086254759801</v>
      </c>
      <c r="H4" s="17">
        <v>1268.9143341456499</v>
      </c>
      <c r="I4" s="14">
        <v>61.8</v>
      </c>
      <c r="J4" s="16">
        <v>100</v>
      </c>
      <c r="K4" s="14">
        <v>184.6</v>
      </c>
      <c r="L4" s="14">
        <v>302</v>
      </c>
      <c r="M4" s="13">
        <v>86980.2</v>
      </c>
      <c r="N4" s="13">
        <v>87089</v>
      </c>
      <c r="O4" s="14">
        <v>0.75</v>
      </c>
      <c r="P4" s="14">
        <v>1.5</v>
      </c>
      <c r="Q4" s="18">
        <v>0.66528125000000005</v>
      </c>
      <c r="R4" s="18">
        <v>0.99399999999999999</v>
      </c>
      <c r="S4" s="18">
        <v>0.23596875</v>
      </c>
      <c r="T4" s="18">
        <v>0.40899999999999997</v>
      </c>
      <c r="U4" s="18">
        <v>2.0387096774193501E-2</v>
      </c>
      <c r="V4" s="18">
        <v>0.04</v>
      </c>
      <c r="W4" s="18">
        <v>6.9870967741935394E-2</v>
      </c>
      <c r="X4" s="18">
        <v>0.152</v>
      </c>
      <c r="Y4" s="18">
        <v>0.245</v>
      </c>
      <c r="Z4" s="18">
        <v>0.39700000000000002</v>
      </c>
      <c r="AA4" s="13">
        <v>6666084321.15625</v>
      </c>
      <c r="AB4" s="13">
        <v>13251188765</v>
      </c>
      <c r="AC4" s="13">
        <v>5899786894.84375</v>
      </c>
      <c r="AD4" s="13">
        <v>11865231496</v>
      </c>
      <c r="AE4" s="13">
        <f t="shared" si="0"/>
        <v>256</v>
      </c>
      <c r="AF4" s="14">
        <f t="shared" si="1"/>
        <v>5</v>
      </c>
      <c r="AG4" s="14">
        <f t="shared" si="2"/>
        <v>12</v>
      </c>
      <c r="AH4" s="19">
        <f t="shared" si="3"/>
        <v>5.882352941176471</v>
      </c>
      <c r="AI4" s="19">
        <f t="shared" si="4"/>
        <v>6.6660843211562497</v>
      </c>
      <c r="AJ4" s="19">
        <f t="shared" si="5"/>
        <v>13.251188765</v>
      </c>
      <c r="AK4" s="19">
        <f t="shared" si="6"/>
        <v>5.89978689484375</v>
      </c>
      <c r="AL4" s="19">
        <f t="shared" si="7"/>
        <v>11.865231496</v>
      </c>
      <c r="AM4" s="20">
        <f>AI4/Assumptions!$B$13</f>
        <v>0.1058108622405754</v>
      </c>
      <c r="AN4" s="20">
        <f>AK4/Assumptions!$B$13</f>
        <v>9.3647411029265867E-2</v>
      </c>
      <c r="AO4" s="19">
        <f t="shared" si="8"/>
        <v>5.2533761671503791</v>
      </c>
      <c r="AP4" s="17">
        <f>H4*Assumptions!$B$16/1000000000000</f>
        <v>177.648006780391</v>
      </c>
      <c r="AQ4" s="14">
        <f>AP4/Assumptions!$B$9</f>
        <v>44.41200169509775</v>
      </c>
      <c r="AR4" s="20">
        <f>AQ4/Assumptions!$B$11</f>
        <v>4.441200169509775E-2</v>
      </c>
      <c r="AS4" s="14">
        <f t="shared" si="9"/>
        <v>45.545251645390913</v>
      </c>
      <c r="AT4" s="14">
        <f>Assumptions!$B$21*O4/100</f>
        <v>0.51147052246093738</v>
      </c>
      <c r="AU4" s="14">
        <f>Assumptions!$B$21*P4/100</f>
        <v>1.0229410449218748</v>
      </c>
      <c r="AV4" s="18">
        <f>H4/(K4*Assumptions!$B$9)</f>
        <v>1.7184646995471966</v>
      </c>
      <c r="AW4" s="18">
        <f t="shared" si="10"/>
        <v>8.6397443619943323E-2</v>
      </c>
    </row>
    <row r="5" spans="1:49" x14ac:dyDescent="0.2">
      <c r="A5" s="16">
        <v>128</v>
      </c>
      <c r="B5" s="16">
        <v>128</v>
      </c>
      <c r="C5" s="16">
        <v>50</v>
      </c>
      <c r="D5" s="16">
        <v>100</v>
      </c>
      <c r="E5" s="16">
        <v>14</v>
      </c>
      <c r="F5" s="17">
        <v>96.044607678777496</v>
      </c>
      <c r="G5" s="14">
        <v>38.969093735027798</v>
      </c>
      <c r="H5" s="17">
        <v>1653.40205686992</v>
      </c>
      <c r="I5" s="14">
        <v>56.8</v>
      </c>
      <c r="J5" s="16">
        <v>100</v>
      </c>
      <c r="K5" s="14">
        <v>171.2</v>
      </c>
      <c r="L5" s="14">
        <v>289</v>
      </c>
      <c r="M5" s="13">
        <v>87131</v>
      </c>
      <c r="N5" s="13">
        <v>87187</v>
      </c>
      <c r="O5" s="14">
        <v>2.1</v>
      </c>
      <c r="P5" s="14">
        <v>2.1</v>
      </c>
      <c r="Q5" s="18">
        <v>0.57920833333333299</v>
      </c>
      <c r="R5" s="18">
        <v>0.995</v>
      </c>
      <c r="S5" s="18">
        <v>0.17129166666666701</v>
      </c>
      <c r="T5" s="18">
        <v>0.34799999999999998</v>
      </c>
      <c r="U5" s="18">
        <v>1.42083333333333E-2</v>
      </c>
      <c r="V5" s="18">
        <v>2.8000000000000001E-2</v>
      </c>
      <c r="W5" s="18">
        <v>6.8375000000000005E-2</v>
      </c>
      <c r="X5" s="18">
        <v>0.13900000000000001</v>
      </c>
      <c r="Y5" s="18">
        <v>0.17345833333333299</v>
      </c>
      <c r="Z5" s="18">
        <v>0.33800000000000002</v>
      </c>
      <c r="AA5" s="13">
        <v>6727580502.2083302</v>
      </c>
      <c r="AB5" s="13">
        <v>13332094679</v>
      </c>
      <c r="AC5" s="13">
        <v>5911063995.0833302</v>
      </c>
      <c r="AD5" s="13">
        <v>11670771344</v>
      </c>
      <c r="AE5" s="13">
        <f t="shared" si="0"/>
        <v>256</v>
      </c>
      <c r="AF5" s="14">
        <f t="shared" si="1"/>
        <v>2</v>
      </c>
      <c r="AG5" s="14">
        <f t="shared" si="2"/>
        <v>12</v>
      </c>
      <c r="AH5" s="19">
        <f t="shared" si="3"/>
        <v>7.1428571428571432</v>
      </c>
      <c r="AI5" s="19">
        <f t="shared" si="4"/>
        <v>6.7275805022083306</v>
      </c>
      <c r="AJ5" s="19">
        <f t="shared" si="5"/>
        <v>13.332094679000001</v>
      </c>
      <c r="AK5" s="19">
        <f t="shared" si="6"/>
        <v>5.9110639950833299</v>
      </c>
      <c r="AL5" s="19">
        <f t="shared" si="7"/>
        <v>11.670771344</v>
      </c>
      <c r="AM5" s="20">
        <f>AI5/Assumptions!$B$13</f>
        <v>0.10678699209854493</v>
      </c>
      <c r="AN5" s="20">
        <f>AK5/Assumptions!$B$13</f>
        <v>9.3826412620370322E-2</v>
      </c>
      <c r="AO5" s="19">
        <f t="shared" si="8"/>
        <v>4.0689319783141027</v>
      </c>
      <c r="AP5" s="17">
        <f>H5*Assumptions!$B$16/1000000000000</f>
        <v>231.47628796178881</v>
      </c>
      <c r="AQ5" s="14">
        <f>AP5/Assumptions!$B$9</f>
        <v>57.869071990447203</v>
      </c>
      <c r="AR5" s="20">
        <f>AQ5/Assumptions!$B$11</f>
        <v>5.7869071990447205E-2</v>
      </c>
      <c r="AS5" s="14">
        <f t="shared" si="9"/>
        <v>64.43157973585167</v>
      </c>
      <c r="AT5" s="14">
        <f>Assumptions!$B$21*O5/100</f>
        <v>1.4321174628906248</v>
      </c>
      <c r="AU5" s="14">
        <f>Assumptions!$B$21*P5/100</f>
        <v>1.4321174628906248</v>
      </c>
      <c r="AV5" s="18">
        <f>H5/(K5*Assumptions!$B$9)</f>
        <v>2.4144305737002338</v>
      </c>
      <c r="AW5" s="18">
        <f t="shared" si="10"/>
        <v>8.2948187788858804E-2</v>
      </c>
    </row>
    <row r="6" spans="1:49" x14ac:dyDescent="0.2">
      <c r="A6" s="16">
        <v>128</v>
      </c>
      <c r="B6" s="16">
        <v>128</v>
      </c>
      <c r="C6" s="16">
        <v>100</v>
      </c>
      <c r="D6" s="16">
        <v>100</v>
      </c>
      <c r="E6" s="16">
        <v>13</v>
      </c>
      <c r="F6" s="17">
        <v>99.149739437853</v>
      </c>
      <c r="G6" s="14">
        <v>39.675629876065301</v>
      </c>
      <c r="H6" s="17">
        <v>1832.81741589132</v>
      </c>
      <c r="I6" s="14">
        <v>56.8</v>
      </c>
      <c r="J6" s="16">
        <v>100</v>
      </c>
      <c r="K6" s="14">
        <v>167.4</v>
      </c>
      <c r="L6" s="14">
        <v>274.7</v>
      </c>
      <c r="M6" s="13">
        <v>87187</v>
      </c>
      <c r="N6" s="13">
        <v>87187</v>
      </c>
      <c r="O6" s="14">
        <v>2.5</v>
      </c>
      <c r="P6" s="14">
        <v>2.5</v>
      </c>
      <c r="Q6" s="18">
        <v>0.57925000000000004</v>
      </c>
      <c r="R6" s="18">
        <v>0.995</v>
      </c>
      <c r="S6" s="18">
        <v>0.16800000000000001</v>
      </c>
      <c r="T6" s="18">
        <v>0.371</v>
      </c>
      <c r="U6" s="18">
        <v>1.49565217391304E-2</v>
      </c>
      <c r="V6" s="18">
        <v>3.2000000000000001E-2</v>
      </c>
      <c r="W6" s="18">
        <v>7.0130434782608594E-2</v>
      </c>
      <c r="X6" s="18">
        <v>0.14099999999999999</v>
      </c>
      <c r="Y6" s="18">
        <v>0.186</v>
      </c>
      <c r="Z6" s="18">
        <v>0.36399999999999999</v>
      </c>
      <c r="AA6" s="13">
        <v>6817713774.25</v>
      </c>
      <c r="AB6" s="13">
        <v>13331502391</v>
      </c>
      <c r="AC6" s="13">
        <v>5986611927.5833302</v>
      </c>
      <c r="AD6" s="13">
        <v>11670868931</v>
      </c>
      <c r="AE6" s="13">
        <f t="shared" si="0"/>
        <v>256</v>
      </c>
      <c r="AF6" s="14">
        <f t="shared" si="1"/>
        <v>1</v>
      </c>
      <c r="AG6" s="14">
        <f t="shared" si="2"/>
        <v>12</v>
      </c>
      <c r="AH6" s="19">
        <f t="shared" si="3"/>
        <v>7.6923076923076925</v>
      </c>
      <c r="AI6" s="19">
        <f t="shared" si="4"/>
        <v>6.8177137742499996</v>
      </c>
      <c r="AJ6" s="19">
        <f t="shared" si="5"/>
        <v>13.331502391000001</v>
      </c>
      <c r="AK6" s="19">
        <f t="shared" si="6"/>
        <v>5.9866119275833301</v>
      </c>
      <c r="AL6" s="19">
        <f t="shared" si="7"/>
        <v>11.670868930999999</v>
      </c>
      <c r="AM6" s="20">
        <f>AI6/Assumptions!$B$13</f>
        <v>0.10821767895634921</v>
      </c>
      <c r="AN6" s="20">
        <f>AK6/Assumptions!$B$13</f>
        <v>9.5025586152116356E-2</v>
      </c>
      <c r="AO6" s="19">
        <f t="shared" si="8"/>
        <v>3.7197997548132573</v>
      </c>
      <c r="AP6" s="17">
        <f>H6*Assumptions!$B$16/1000000000000</f>
        <v>256.59443822478482</v>
      </c>
      <c r="AQ6" s="14">
        <f>AP6/Assumptions!$B$9</f>
        <v>64.148609556196206</v>
      </c>
      <c r="AR6" s="20">
        <f>AQ6/Assumptions!$B$11</f>
        <v>6.4148609556196209E-2</v>
      </c>
      <c r="AS6" s="14">
        <f t="shared" si="9"/>
        <v>72.718185423310459</v>
      </c>
      <c r="AT6" s="14">
        <f>Assumptions!$B$21*O6/100</f>
        <v>1.704901741536458</v>
      </c>
      <c r="AU6" s="14">
        <f>Assumptions!$B$21*P6/100</f>
        <v>1.704901741536458</v>
      </c>
      <c r="AV6" s="18">
        <f>H6/(K6*Assumptions!$B$9)</f>
        <v>2.7371825207456988</v>
      </c>
      <c r="AW6" s="18">
        <f t="shared" si="10"/>
        <v>8.9026915113871424E-2</v>
      </c>
    </row>
    <row r="7" spans="1:49" x14ac:dyDescent="0.2">
      <c r="A7" s="16">
        <v>128</v>
      </c>
      <c r="B7" s="16">
        <v>512</v>
      </c>
      <c r="C7" s="16">
        <v>5</v>
      </c>
      <c r="D7" s="16">
        <v>100</v>
      </c>
      <c r="E7" s="16">
        <v>46</v>
      </c>
      <c r="F7" s="17">
        <v>89.879353687283597</v>
      </c>
      <c r="G7" s="14">
        <v>35.907159308442701</v>
      </c>
      <c r="H7" s="17">
        <v>1267.0729645696699</v>
      </c>
      <c r="I7" s="14">
        <v>86.4</v>
      </c>
      <c r="J7" s="16">
        <v>100</v>
      </c>
      <c r="K7" s="14">
        <v>240.3</v>
      </c>
      <c r="L7" s="14">
        <v>315</v>
      </c>
      <c r="M7" s="13">
        <v>87187</v>
      </c>
      <c r="N7" s="13">
        <v>87187</v>
      </c>
      <c r="O7" s="14">
        <v>1.72</v>
      </c>
      <c r="P7" s="14">
        <v>3.3</v>
      </c>
      <c r="Q7" s="18">
        <v>0.87814772727272705</v>
      </c>
      <c r="R7" s="18">
        <v>0.996</v>
      </c>
      <c r="S7" s="18">
        <v>0.335761363636364</v>
      </c>
      <c r="T7" s="18">
        <v>0.54300000000000004</v>
      </c>
      <c r="U7" s="18">
        <v>2.8409090909090901E-2</v>
      </c>
      <c r="V7" s="18">
        <v>5.2999999999999999E-2</v>
      </c>
      <c r="W7" s="18">
        <v>9.30340909090909E-2</v>
      </c>
      <c r="X7" s="18">
        <v>0.16500000000000001</v>
      </c>
      <c r="Y7" s="18">
        <v>0.328113636363636</v>
      </c>
      <c r="Z7" s="18">
        <v>0.54100000000000004</v>
      </c>
      <c r="AA7" s="13">
        <v>9465355455.3977299</v>
      </c>
      <c r="AB7" s="13">
        <v>14297010609</v>
      </c>
      <c r="AC7" s="13">
        <v>8376668276.1022701</v>
      </c>
      <c r="AD7" s="13">
        <v>12832353150</v>
      </c>
      <c r="AE7" s="13">
        <f t="shared" si="0"/>
        <v>640</v>
      </c>
      <c r="AF7" s="14">
        <f t="shared" si="1"/>
        <v>20</v>
      </c>
      <c r="AG7" s="14">
        <f t="shared" si="2"/>
        <v>26</v>
      </c>
      <c r="AH7" s="19">
        <f t="shared" si="3"/>
        <v>2.1739130434782608</v>
      </c>
      <c r="AI7" s="19">
        <f t="shared" si="4"/>
        <v>9.465355455397729</v>
      </c>
      <c r="AJ7" s="19">
        <f t="shared" si="5"/>
        <v>14.297010609000001</v>
      </c>
      <c r="AK7" s="19">
        <f t="shared" si="6"/>
        <v>8.3766682761022704</v>
      </c>
      <c r="AL7" s="19">
        <f t="shared" si="7"/>
        <v>12.832353149999999</v>
      </c>
      <c r="AM7" s="20">
        <f>AI7/Assumptions!$B$13</f>
        <v>0.15024373738726554</v>
      </c>
      <c r="AN7" s="20">
        <f>AK7/Assumptions!$B$13</f>
        <v>0.13296298850955984</v>
      </c>
      <c r="AO7" s="19">
        <f t="shared" si="8"/>
        <v>7.47025287420003</v>
      </c>
      <c r="AP7" s="17">
        <f>H7*Assumptions!$B$16/1000000000000</f>
        <v>177.39021503975377</v>
      </c>
      <c r="AQ7" s="14">
        <f>AP7/Assumptions!$B$9</f>
        <v>44.347553759938442</v>
      </c>
      <c r="AR7" s="20">
        <f>AQ7/Assumptions!$B$11</f>
        <v>4.4347553759938443E-2</v>
      </c>
      <c r="AS7" s="14">
        <f t="shared" si="9"/>
        <v>45.496990794223912</v>
      </c>
      <c r="AT7" s="14">
        <f>Assumptions!$B$21*O7/100</f>
        <v>1.1729723981770832</v>
      </c>
      <c r="AU7" s="14">
        <f>Assumptions!$B$21*P7/100</f>
        <v>2.2504702988281249</v>
      </c>
      <c r="AV7" s="18">
        <f>H7/(K7*Assumptions!$B$9)</f>
        <v>1.3182198965560443</v>
      </c>
      <c r="AW7" s="18">
        <f t="shared" si="10"/>
        <v>8.461095881138514E-2</v>
      </c>
    </row>
    <row r="8" spans="1:49" x14ac:dyDescent="0.2">
      <c r="A8" s="16">
        <v>128</v>
      </c>
      <c r="B8" s="16">
        <v>512</v>
      </c>
      <c r="C8" s="16">
        <v>10</v>
      </c>
      <c r="D8" s="16">
        <v>100</v>
      </c>
      <c r="E8" s="16">
        <v>39</v>
      </c>
      <c r="F8" s="17">
        <v>90.422789590083994</v>
      </c>
      <c r="G8" s="14">
        <v>38.638225628158402</v>
      </c>
      <c r="H8" s="17">
        <v>1569.3714300653101</v>
      </c>
      <c r="I8" s="14">
        <v>83.9</v>
      </c>
      <c r="J8" s="16">
        <v>100</v>
      </c>
      <c r="K8" s="14">
        <v>239</v>
      </c>
      <c r="L8" s="14">
        <v>312.8</v>
      </c>
      <c r="M8" s="13">
        <v>87187</v>
      </c>
      <c r="N8" s="13">
        <v>87187</v>
      </c>
      <c r="O8" s="14">
        <v>2.2999999999999998</v>
      </c>
      <c r="P8" s="14">
        <v>4.4000000000000004</v>
      </c>
      <c r="Q8" s="18">
        <v>0.841342105263158</v>
      </c>
      <c r="R8" s="18">
        <v>1</v>
      </c>
      <c r="S8" s="18">
        <v>0.30806578947368402</v>
      </c>
      <c r="T8" s="18">
        <v>0.53800000000000003</v>
      </c>
      <c r="U8" s="18">
        <v>2.56710526315789E-2</v>
      </c>
      <c r="V8" s="18">
        <v>5.3999999999999999E-2</v>
      </c>
      <c r="W8" s="18">
        <v>9.7789473684210496E-2</v>
      </c>
      <c r="X8" s="18">
        <v>0.16600000000000001</v>
      </c>
      <c r="Y8" s="18">
        <v>0.30511842105263198</v>
      </c>
      <c r="Z8" s="18">
        <v>0.53400000000000003</v>
      </c>
      <c r="AA8" s="13">
        <v>9443682196.9210491</v>
      </c>
      <c r="AB8" s="13">
        <v>13706013424</v>
      </c>
      <c r="AC8" s="13">
        <v>8251789381.1842098</v>
      </c>
      <c r="AD8" s="13">
        <v>12150063460</v>
      </c>
      <c r="AE8" s="13">
        <f t="shared" si="0"/>
        <v>640</v>
      </c>
      <c r="AF8" s="14">
        <f t="shared" si="1"/>
        <v>10</v>
      </c>
      <c r="AG8" s="14">
        <f t="shared" si="2"/>
        <v>29</v>
      </c>
      <c r="AH8" s="19">
        <f t="shared" si="3"/>
        <v>2.5641025641025643</v>
      </c>
      <c r="AI8" s="19">
        <f t="shared" si="4"/>
        <v>9.4436821969210492</v>
      </c>
      <c r="AJ8" s="19">
        <f t="shared" si="5"/>
        <v>13.706013424</v>
      </c>
      <c r="AK8" s="19">
        <f t="shared" si="6"/>
        <v>8.25178938118421</v>
      </c>
      <c r="AL8" s="19">
        <f t="shared" si="7"/>
        <v>12.15006346</v>
      </c>
      <c r="AM8" s="20">
        <f>AI8/Assumptions!$B$13</f>
        <v>0.14989971741144523</v>
      </c>
      <c r="AN8" s="20">
        <f>AK8/Assumptions!$B$13</f>
        <v>0.13098078382832079</v>
      </c>
      <c r="AO8" s="19">
        <f t="shared" si="8"/>
        <v>6.0174933836587341</v>
      </c>
      <c r="AP8" s="17">
        <f>H8*Assumptions!$B$16/1000000000000</f>
        <v>219.71200020914341</v>
      </c>
      <c r="AQ8" s="14">
        <f>AP8/Assumptions!$B$9</f>
        <v>54.928000052285853</v>
      </c>
      <c r="AR8" s="20">
        <f>AQ8/Assumptions!$B$11</f>
        <v>5.4928000052285854E-2</v>
      </c>
      <c r="AS8" s="14">
        <f t="shared" si="9"/>
        <v>60.637727409249059</v>
      </c>
      <c r="AT8" s="14">
        <f>Assumptions!$B$21*O8/100</f>
        <v>1.5685096022135414</v>
      </c>
      <c r="AU8" s="14">
        <f>Assumptions!$B$21*P8/100</f>
        <v>3.0006270651041667</v>
      </c>
      <c r="AV8" s="18">
        <f>H8/(K8*Assumptions!$B$9)</f>
        <v>1.6416019142942573</v>
      </c>
      <c r="AW8" s="18">
        <f t="shared" si="10"/>
        <v>8.3329774057147643E-2</v>
      </c>
    </row>
    <row r="9" spans="1:49" x14ac:dyDescent="0.2">
      <c r="A9" s="16">
        <v>128</v>
      </c>
      <c r="B9" s="16">
        <v>512</v>
      </c>
      <c r="C9" s="16">
        <v>20</v>
      </c>
      <c r="D9" s="16">
        <v>100</v>
      </c>
      <c r="E9" s="16">
        <v>35</v>
      </c>
      <c r="F9" s="17">
        <v>90.205227801343398</v>
      </c>
      <c r="G9" s="14">
        <v>39.867269654072302</v>
      </c>
      <c r="H9" s="17">
        <v>1774.57102421369</v>
      </c>
      <c r="I9" s="14">
        <v>82.8</v>
      </c>
      <c r="J9" s="16">
        <v>100</v>
      </c>
      <c r="K9" s="14">
        <v>239.1</v>
      </c>
      <c r="L9" s="14">
        <v>302.2</v>
      </c>
      <c r="M9" s="13">
        <v>87187</v>
      </c>
      <c r="N9" s="13">
        <v>87187</v>
      </c>
      <c r="O9" s="14">
        <v>3.1333333333333302</v>
      </c>
      <c r="P9" s="14">
        <v>5.5</v>
      </c>
      <c r="Q9" s="18">
        <v>0.85211764705882398</v>
      </c>
      <c r="R9" s="18">
        <v>0.996</v>
      </c>
      <c r="S9" s="18">
        <v>0.29491176470588198</v>
      </c>
      <c r="T9" s="18">
        <v>0.53600000000000003</v>
      </c>
      <c r="U9" s="18">
        <v>2.5058823529411699E-2</v>
      </c>
      <c r="V9" s="18">
        <v>5.1999999999999998E-2</v>
      </c>
      <c r="W9" s="18">
        <v>0.10224999999999999</v>
      </c>
      <c r="X9" s="18">
        <v>0.14899999999999999</v>
      </c>
      <c r="Y9" s="18">
        <v>0.29349999999999998</v>
      </c>
      <c r="Z9" s="18">
        <v>0.53400000000000003</v>
      </c>
      <c r="AA9" s="13">
        <v>9656201023.75</v>
      </c>
      <c r="AB9" s="13">
        <v>13212650465</v>
      </c>
      <c r="AC9" s="13">
        <v>8499448298.13235</v>
      </c>
      <c r="AD9" s="13">
        <v>11660316275</v>
      </c>
      <c r="AE9" s="13">
        <f t="shared" si="0"/>
        <v>640</v>
      </c>
      <c r="AF9" s="14">
        <f t="shared" si="1"/>
        <v>5</v>
      </c>
      <c r="AG9" s="14">
        <f t="shared" si="2"/>
        <v>30</v>
      </c>
      <c r="AH9" s="19">
        <f t="shared" si="3"/>
        <v>2.8571428571428572</v>
      </c>
      <c r="AI9" s="19">
        <f t="shared" si="4"/>
        <v>9.6562010237500004</v>
      </c>
      <c r="AJ9" s="19">
        <f t="shared" si="5"/>
        <v>13.212650464999999</v>
      </c>
      <c r="AK9" s="19">
        <f t="shared" si="6"/>
        <v>8.49944829813235</v>
      </c>
      <c r="AL9" s="19">
        <f t="shared" si="7"/>
        <v>11.660316275</v>
      </c>
      <c r="AM9" s="20">
        <f>AI9/Assumptions!$B$13</f>
        <v>0.15327303212301588</v>
      </c>
      <c r="AN9" s="20">
        <f>AK9/Assumptions!$B$13</f>
        <v>0.13491187774813254</v>
      </c>
      <c r="AO9" s="19">
        <f t="shared" si="8"/>
        <v>5.4414283181641885</v>
      </c>
      <c r="AP9" s="17">
        <f>H9*Assumptions!$B$16/1000000000000</f>
        <v>248.43994338991661</v>
      </c>
      <c r="AQ9" s="14">
        <f>AP9/Assumptions!$B$9</f>
        <v>62.109985847479152</v>
      </c>
      <c r="AR9" s="20">
        <f>AQ9/Assumptions!$B$11</f>
        <v>6.2109985847479149E-2</v>
      </c>
      <c r="AS9" s="14">
        <f t="shared" si="9"/>
        <v>70.747301542630453</v>
      </c>
      <c r="AT9" s="14">
        <f>Assumptions!$B$21*O9/100</f>
        <v>2.136810182725692</v>
      </c>
      <c r="AU9" s="14">
        <f>Assumptions!$B$21*P9/100</f>
        <v>3.750783831380208</v>
      </c>
      <c r="AV9" s="18">
        <f>H9/(K9*Assumptions!$B$9)</f>
        <v>1.8554694941590235</v>
      </c>
      <c r="AW9" s="18">
        <f t="shared" si="10"/>
        <v>8.4970579435523969E-2</v>
      </c>
    </row>
    <row r="10" spans="1:49" x14ac:dyDescent="0.2">
      <c r="A10" s="16">
        <v>128</v>
      </c>
      <c r="B10" s="16">
        <v>512</v>
      </c>
      <c r="C10" s="16">
        <v>50</v>
      </c>
      <c r="D10" s="16">
        <v>100</v>
      </c>
      <c r="E10" s="16">
        <v>33</v>
      </c>
      <c r="F10" s="17">
        <v>95.348669265513294</v>
      </c>
      <c r="G10" s="14">
        <v>40.491962167559599</v>
      </c>
      <c r="H10" s="17">
        <v>1918.2831539047299</v>
      </c>
      <c r="I10" s="14">
        <v>81.900000000000006</v>
      </c>
      <c r="J10" s="16">
        <v>100</v>
      </c>
      <c r="K10" s="14">
        <v>235.9</v>
      </c>
      <c r="L10" s="14">
        <v>306.2</v>
      </c>
      <c r="M10" s="13">
        <v>87187</v>
      </c>
      <c r="N10" s="13">
        <v>87187</v>
      </c>
      <c r="O10" s="14">
        <v>3.1333333333333302</v>
      </c>
      <c r="P10" s="14">
        <v>5.0999999999999996</v>
      </c>
      <c r="Q10" s="18">
        <v>0.84415625000000005</v>
      </c>
      <c r="R10" s="18">
        <v>0.996</v>
      </c>
      <c r="S10" s="18">
        <v>0.27945312500000002</v>
      </c>
      <c r="T10" s="18">
        <v>0.52400000000000002</v>
      </c>
      <c r="U10" s="18">
        <v>2.4079365079364999E-2</v>
      </c>
      <c r="V10" s="18">
        <v>0.05</v>
      </c>
      <c r="W10" s="18">
        <v>0.105365079365079</v>
      </c>
      <c r="X10" s="18">
        <v>0.159</v>
      </c>
      <c r="Y10" s="18">
        <v>0.29448387096774198</v>
      </c>
      <c r="Z10" s="18">
        <v>0.51600000000000001</v>
      </c>
      <c r="AA10" s="13">
        <v>9904561337.84375</v>
      </c>
      <c r="AB10" s="13">
        <v>13315040015</v>
      </c>
      <c r="AC10" s="13">
        <v>8705131777.7968807</v>
      </c>
      <c r="AD10" s="13">
        <v>11655909995</v>
      </c>
      <c r="AE10" s="13">
        <f t="shared" si="0"/>
        <v>640</v>
      </c>
      <c r="AF10" s="14">
        <f t="shared" si="1"/>
        <v>2</v>
      </c>
      <c r="AG10" s="14">
        <f t="shared" si="2"/>
        <v>31</v>
      </c>
      <c r="AH10" s="19">
        <f t="shared" si="3"/>
        <v>3.0303030303030303</v>
      </c>
      <c r="AI10" s="19">
        <f t="shared" si="4"/>
        <v>9.9045613378437505</v>
      </c>
      <c r="AJ10" s="19">
        <f t="shared" si="5"/>
        <v>13.315040014999999</v>
      </c>
      <c r="AK10" s="19">
        <f t="shared" si="6"/>
        <v>8.7051317777968809</v>
      </c>
      <c r="AL10" s="19">
        <f t="shared" si="7"/>
        <v>11.655909995</v>
      </c>
      <c r="AM10" s="20">
        <f>AI10/Assumptions!$B$13</f>
        <v>0.15721525933085317</v>
      </c>
      <c r="AN10" s="20">
        <f>AK10/Assumptions!$B$13</f>
        <v>0.13817669488566478</v>
      </c>
      <c r="AO10" s="19">
        <f t="shared" si="8"/>
        <v>5.1632426201953985</v>
      </c>
      <c r="AP10" s="17">
        <f>H10*Assumptions!$B$16/1000000000000</f>
        <v>268.55964154666219</v>
      </c>
      <c r="AQ10" s="14">
        <f>AP10/Assumptions!$B$9</f>
        <v>67.139910386665548</v>
      </c>
      <c r="AR10" s="20">
        <f>AQ10/Assumptions!$B$11</f>
        <v>6.7139910386665544E-2</v>
      </c>
      <c r="AS10" s="14">
        <f t="shared" si="9"/>
        <v>77.675048894577245</v>
      </c>
      <c r="AT10" s="14">
        <f>Assumptions!$B$21*O10/100</f>
        <v>2.136810182725692</v>
      </c>
      <c r="AU10" s="14">
        <f>Assumptions!$B$21*P10/100</f>
        <v>3.4779995527343743</v>
      </c>
      <c r="AV10" s="18">
        <f>H10/(K10*Assumptions!$B$9)</f>
        <v>2.0329410278769924</v>
      </c>
      <c r="AW10" s="18">
        <f t="shared" si="10"/>
        <v>8.6166025444750341E-2</v>
      </c>
    </row>
    <row r="11" spans="1:49" x14ac:dyDescent="0.2">
      <c r="A11" s="16">
        <v>128</v>
      </c>
      <c r="B11" s="16">
        <v>512</v>
      </c>
      <c r="C11" s="16">
        <v>100</v>
      </c>
      <c r="D11" s="16">
        <v>100</v>
      </c>
      <c r="E11" s="16">
        <v>32</v>
      </c>
      <c r="F11" s="17">
        <v>99.906296872650302</v>
      </c>
      <c r="G11" s="14">
        <v>40.663431703559198</v>
      </c>
      <c r="H11" s="17">
        <v>1967.26640417103</v>
      </c>
      <c r="I11" s="14">
        <v>80.900000000000006</v>
      </c>
      <c r="J11" s="16">
        <v>100</v>
      </c>
      <c r="K11" s="14">
        <v>234.2</v>
      </c>
      <c r="L11" s="14">
        <v>300.89999999999998</v>
      </c>
      <c r="M11" s="13">
        <v>87187</v>
      </c>
      <c r="N11" s="13">
        <v>87187</v>
      </c>
      <c r="O11" s="14">
        <v>3.43333333333333</v>
      </c>
      <c r="P11" s="14">
        <v>5</v>
      </c>
      <c r="Q11" s="18">
        <v>0.83674999999999999</v>
      </c>
      <c r="R11" s="18">
        <v>0.996</v>
      </c>
      <c r="S11" s="18">
        <v>0.26245000000000002</v>
      </c>
      <c r="T11" s="18">
        <v>0.436</v>
      </c>
      <c r="U11" s="18">
        <v>2.2389830508474502E-2</v>
      </c>
      <c r="V11" s="18">
        <v>3.9E-2</v>
      </c>
      <c r="W11" s="18">
        <v>0.106271186440678</v>
      </c>
      <c r="X11" s="18">
        <v>0.152</v>
      </c>
      <c r="Y11" s="18">
        <v>0.27950000000000003</v>
      </c>
      <c r="Z11" s="18">
        <v>0.41699999999999998</v>
      </c>
      <c r="AA11" s="13">
        <v>10312082461.383301</v>
      </c>
      <c r="AB11" s="13">
        <v>13789898033</v>
      </c>
      <c r="AC11" s="13">
        <v>9051094557.5</v>
      </c>
      <c r="AD11" s="13">
        <v>12258865793</v>
      </c>
      <c r="AE11" s="13">
        <f t="shared" si="0"/>
        <v>640</v>
      </c>
      <c r="AF11" s="14">
        <f t="shared" si="1"/>
        <v>1</v>
      </c>
      <c r="AG11" s="14">
        <f t="shared" si="2"/>
        <v>31</v>
      </c>
      <c r="AH11" s="19">
        <f t="shared" si="3"/>
        <v>3.125</v>
      </c>
      <c r="AI11" s="19">
        <f t="shared" si="4"/>
        <v>10.312082461383302</v>
      </c>
      <c r="AJ11" s="19">
        <f t="shared" si="5"/>
        <v>13.789898033</v>
      </c>
      <c r="AK11" s="19">
        <f t="shared" si="6"/>
        <v>9.0510945575000008</v>
      </c>
      <c r="AL11" s="19">
        <f t="shared" si="7"/>
        <v>12.258865793</v>
      </c>
      <c r="AM11" s="20">
        <f>AI11/Assumptions!$B$13</f>
        <v>0.16368384859338575</v>
      </c>
      <c r="AN11" s="20">
        <f>AK11/Assumptions!$B$13</f>
        <v>0.1436681675793651</v>
      </c>
      <c r="AO11" s="19">
        <f t="shared" si="8"/>
        <v>5.2418332562989223</v>
      </c>
      <c r="AP11" s="17">
        <f>H11*Assumptions!$B$16/1000000000000</f>
        <v>275.41729658394416</v>
      </c>
      <c r="AQ11" s="14">
        <f>AP11/Assumptions!$B$9</f>
        <v>68.854324145986041</v>
      </c>
      <c r="AR11" s="20">
        <f>AQ11/Assumptions!$B$11</f>
        <v>6.8854324145986037E-2</v>
      </c>
      <c r="AS11" s="14">
        <f t="shared" si="9"/>
        <v>79.995803068715162</v>
      </c>
      <c r="AT11" s="14">
        <f>Assumptions!$B$21*O11/100</f>
        <v>2.3413983917100669</v>
      </c>
      <c r="AU11" s="14">
        <f>Assumptions!$B$21*P11/100</f>
        <v>3.409803483072916</v>
      </c>
      <c r="AV11" s="18">
        <f>H11/(K11*Assumptions!$B$9)</f>
        <v>2.0999854869460184</v>
      </c>
      <c r="AW11" s="18">
        <f t="shared" si="10"/>
        <v>8.531084209744523E-2</v>
      </c>
    </row>
    <row r="12" spans="1:49" x14ac:dyDescent="0.2">
      <c r="A12" s="16">
        <v>128</v>
      </c>
      <c r="B12" s="16">
        <v>1024</v>
      </c>
      <c r="C12" s="16">
        <v>5</v>
      </c>
      <c r="D12" s="16">
        <v>100</v>
      </c>
      <c r="E12" s="16">
        <v>72</v>
      </c>
      <c r="F12" s="17">
        <v>89.802924215909997</v>
      </c>
      <c r="G12" s="14">
        <v>39.359940812589002</v>
      </c>
      <c r="H12" s="17">
        <v>1547.8223476948201</v>
      </c>
      <c r="I12" s="14">
        <v>91.3</v>
      </c>
      <c r="J12" s="16">
        <v>100</v>
      </c>
      <c r="K12" s="14">
        <v>250.3</v>
      </c>
      <c r="L12" s="14">
        <v>313.8</v>
      </c>
      <c r="M12" s="13">
        <v>87187</v>
      </c>
      <c r="N12" s="13">
        <v>87187</v>
      </c>
      <c r="O12" s="14">
        <v>4.0750000000000002</v>
      </c>
      <c r="P12" s="14">
        <v>9</v>
      </c>
      <c r="Q12" s="18">
        <v>0.91830000000000001</v>
      </c>
      <c r="R12" s="18">
        <v>0.996</v>
      </c>
      <c r="S12" s="18">
        <v>0.34909285714285698</v>
      </c>
      <c r="T12" s="18">
        <v>0.55600000000000005</v>
      </c>
      <c r="U12" s="18">
        <v>2.93785714285714E-2</v>
      </c>
      <c r="V12" s="18">
        <v>5.5E-2</v>
      </c>
      <c r="W12" s="18">
        <v>0.10650714285714299</v>
      </c>
      <c r="X12" s="18">
        <v>0.16500000000000001</v>
      </c>
      <c r="Y12" s="18">
        <v>0.34953571428571401</v>
      </c>
      <c r="Z12" s="18">
        <v>0.55900000000000005</v>
      </c>
      <c r="AA12" s="13">
        <v>10199704809.9429</v>
      </c>
      <c r="AB12" s="13">
        <v>15220624577</v>
      </c>
      <c r="AC12" s="13">
        <v>9003985941.1642895</v>
      </c>
      <c r="AD12" s="13">
        <v>13667287754</v>
      </c>
      <c r="AE12" s="13">
        <f t="shared" si="0"/>
        <v>1152</v>
      </c>
      <c r="AF12" s="14">
        <f t="shared" si="1"/>
        <v>20</v>
      </c>
      <c r="AG12" s="14">
        <f t="shared" si="2"/>
        <v>52</v>
      </c>
      <c r="AH12" s="19">
        <f t="shared" si="3"/>
        <v>1.3888888888888888</v>
      </c>
      <c r="AI12" s="19">
        <f t="shared" si="4"/>
        <v>10.199704809942899</v>
      </c>
      <c r="AJ12" s="19">
        <f t="shared" si="5"/>
        <v>15.220624577000001</v>
      </c>
      <c r="AK12" s="19">
        <f t="shared" si="6"/>
        <v>9.0039859411642897</v>
      </c>
      <c r="AL12" s="19">
        <f t="shared" si="7"/>
        <v>13.667287754</v>
      </c>
      <c r="AM12" s="20">
        <f>AI12/Assumptions!$B$13</f>
        <v>0.16190007634829998</v>
      </c>
      <c r="AN12" s="20">
        <f>AK12/Assumptions!$B$13</f>
        <v>0.14292041176451253</v>
      </c>
      <c r="AO12" s="19">
        <f t="shared" si="8"/>
        <v>6.5897128473001914</v>
      </c>
      <c r="AP12" s="17">
        <f>H12*Assumptions!$B$16/1000000000000</f>
        <v>216.69512867727482</v>
      </c>
      <c r="AQ12" s="14">
        <f>AP12/Assumptions!$B$9</f>
        <v>54.173782169318706</v>
      </c>
      <c r="AR12" s="20">
        <f>AQ12/Assumptions!$B$11</f>
        <v>5.4173782169318709E-2</v>
      </c>
      <c r="AS12" s="14">
        <f t="shared" si="9"/>
        <v>60.922195993670677</v>
      </c>
      <c r="AT12" s="14">
        <f>Assumptions!$B$21*O12/100</f>
        <v>2.778989838704427</v>
      </c>
      <c r="AU12" s="14">
        <f>Assumptions!$B$21*P12/100</f>
        <v>6.137646269531249</v>
      </c>
      <c r="AV12" s="18">
        <f>H12/(K12*Assumptions!$B$9)</f>
        <v>1.5459671870703355</v>
      </c>
      <c r="AW12" s="18">
        <f t="shared" si="10"/>
        <v>8.415689644589032E-2</v>
      </c>
    </row>
    <row r="13" spans="1:49" x14ac:dyDescent="0.2">
      <c r="A13" s="16">
        <v>128</v>
      </c>
      <c r="B13" s="16">
        <v>1024</v>
      </c>
      <c r="C13" s="16">
        <v>10</v>
      </c>
      <c r="D13" s="16">
        <v>100</v>
      </c>
      <c r="E13" s="16">
        <v>64</v>
      </c>
      <c r="F13" s="17">
        <v>90.277003588271299</v>
      </c>
      <c r="G13" s="14">
        <v>40.427202586772502</v>
      </c>
      <c r="H13" s="17">
        <v>1756.07632075214</v>
      </c>
      <c r="I13" s="14">
        <v>90.2</v>
      </c>
      <c r="J13" s="16">
        <v>100</v>
      </c>
      <c r="K13" s="14">
        <v>245.2</v>
      </c>
      <c r="L13" s="14">
        <v>305.39999999999998</v>
      </c>
      <c r="M13" s="13">
        <v>87187</v>
      </c>
      <c r="N13" s="13">
        <v>87187</v>
      </c>
      <c r="O13" s="14">
        <v>4.6142857142857103</v>
      </c>
      <c r="P13" s="14">
        <v>9.6999999999999993</v>
      </c>
      <c r="Q13" s="18">
        <v>0.91387096774193499</v>
      </c>
      <c r="R13" s="18">
        <v>0.996</v>
      </c>
      <c r="S13" s="18">
        <v>0.33254838709677398</v>
      </c>
      <c r="T13" s="18">
        <v>0.55100000000000005</v>
      </c>
      <c r="U13" s="18">
        <v>2.7685483870967701E-2</v>
      </c>
      <c r="V13" s="18">
        <v>5.2999999999999999E-2</v>
      </c>
      <c r="W13" s="18">
        <v>0.109887096774194</v>
      </c>
      <c r="X13" s="18">
        <v>0.16400000000000001</v>
      </c>
      <c r="Y13" s="18">
        <v>0.33641129032258099</v>
      </c>
      <c r="Z13" s="18">
        <v>0.54800000000000004</v>
      </c>
      <c r="AA13" s="13">
        <v>10539532508.919399</v>
      </c>
      <c r="AB13" s="13">
        <v>13595181605</v>
      </c>
      <c r="AC13" s="13">
        <v>9255805754.4193592</v>
      </c>
      <c r="AD13" s="13">
        <v>12110481436</v>
      </c>
      <c r="AE13" s="13">
        <f t="shared" si="0"/>
        <v>1152</v>
      </c>
      <c r="AF13" s="14">
        <f t="shared" si="1"/>
        <v>10</v>
      </c>
      <c r="AG13" s="14">
        <f t="shared" si="2"/>
        <v>54</v>
      </c>
      <c r="AH13" s="19">
        <f t="shared" si="3"/>
        <v>1.5625</v>
      </c>
      <c r="AI13" s="19">
        <f t="shared" si="4"/>
        <v>10.539532508919399</v>
      </c>
      <c r="AJ13" s="19">
        <f t="shared" si="5"/>
        <v>13.595181605000001</v>
      </c>
      <c r="AK13" s="19">
        <f t="shared" si="6"/>
        <v>9.2558057544193595</v>
      </c>
      <c r="AL13" s="19">
        <f t="shared" si="7"/>
        <v>12.110481436000001</v>
      </c>
      <c r="AM13" s="20">
        <f>AI13/Assumptions!$B$13</f>
        <v>0.16729416680824441</v>
      </c>
      <c r="AN13" s="20">
        <f>AK13/Assumptions!$B$13</f>
        <v>0.14691755165745016</v>
      </c>
      <c r="AO13" s="19">
        <f t="shared" si="8"/>
        <v>6.0017508261857566</v>
      </c>
      <c r="AP13" s="17">
        <f>H13*Assumptions!$B$16/1000000000000</f>
        <v>245.8506849052996</v>
      </c>
      <c r="AQ13" s="14">
        <f>AP13/Assumptions!$B$9</f>
        <v>61.4626712263249</v>
      </c>
      <c r="AR13" s="20">
        <f>AQ13/Assumptions!$B$11</f>
        <v>6.14626712263249E-2</v>
      </c>
      <c r="AS13" s="14">
        <f t="shared" si="9"/>
        <v>70.993253176880856</v>
      </c>
      <c r="AT13" s="14">
        <f>Assumptions!$B$21*O13/100</f>
        <v>3.1467615000930027</v>
      </c>
      <c r="AU13" s="14">
        <f>Assumptions!$B$21*P13/100</f>
        <v>6.6150187571614572</v>
      </c>
      <c r="AV13" s="18">
        <f>H13/(K13*Assumptions!$B$9)</f>
        <v>1.7904530187113989</v>
      </c>
      <c r="AW13" s="18">
        <f t="shared" si="10"/>
        <v>8.3252497817440999E-2</v>
      </c>
    </row>
    <row r="14" spans="1:49" x14ac:dyDescent="0.2">
      <c r="A14" s="16">
        <v>128</v>
      </c>
      <c r="B14" s="16">
        <v>1024</v>
      </c>
      <c r="C14" s="16">
        <v>20</v>
      </c>
      <c r="D14" s="16">
        <v>100</v>
      </c>
      <c r="E14" s="16">
        <v>62</v>
      </c>
      <c r="F14" s="17">
        <v>89.601246171514504</v>
      </c>
      <c r="G14" s="14">
        <v>41.201592019061898</v>
      </c>
      <c r="H14" s="17">
        <v>1863.4935370252899</v>
      </c>
      <c r="I14" s="14">
        <v>89.9</v>
      </c>
      <c r="J14" s="16">
        <v>100</v>
      </c>
      <c r="K14" s="14">
        <v>247.6</v>
      </c>
      <c r="L14" s="14">
        <v>310.60000000000002</v>
      </c>
      <c r="M14" s="13">
        <v>87187</v>
      </c>
      <c r="N14" s="13">
        <v>87187</v>
      </c>
      <c r="O14" s="14">
        <v>5.55</v>
      </c>
      <c r="P14" s="14">
        <v>9.5</v>
      </c>
      <c r="Q14" s="18">
        <v>0.91086666666666705</v>
      </c>
      <c r="R14" s="18">
        <v>0.996</v>
      </c>
      <c r="S14" s="18">
        <v>0.32414166666666699</v>
      </c>
      <c r="T14" s="18">
        <v>0.55500000000000005</v>
      </c>
      <c r="U14" s="18">
        <v>2.7016666666666599E-2</v>
      </c>
      <c r="V14" s="18">
        <v>5.2999999999999999E-2</v>
      </c>
      <c r="W14" s="18">
        <v>0.111933333333333</v>
      </c>
      <c r="X14" s="18">
        <v>0.156</v>
      </c>
      <c r="Y14" s="18">
        <v>0.332691666666667</v>
      </c>
      <c r="Z14" s="18">
        <v>0.55400000000000005</v>
      </c>
      <c r="AA14" s="13">
        <v>10567322847.8083</v>
      </c>
      <c r="AB14" s="13">
        <v>13788851023</v>
      </c>
      <c r="AC14" s="13">
        <v>9283967085.3083305</v>
      </c>
      <c r="AD14" s="13">
        <v>12320069670</v>
      </c>
      <c r="AE14" s="13">
        <f t="shared" si="0"/>
        <v>1152</v>
      </c>
      <c r="AF14" s="14">
        <f t="shared" si="1"/>
        <v>5</v>
      </c>
      <c r="AG14" s="14">
        <f t="shared" si="2"/>
        <v>57</v>
      </c>
      <c r="AH14" s="19">
        <f t="shared" si="3"/>
        <v>1.6129032258064515</v>
      </c>
      <c r="AI14" s="19">
        <f t="shared" si="4"/>
        <v>10.567322847808301</v>
      </c>
      <c r="AJ14" s="19">
        <f t="shared" si="5"/>
        <v>13.788851022999999</v>
      </c>
      <c r="AK14" s="19">
        <f t="shared" si="6"/>
        <v>9.2839670853083298</v>
      </c>
      <c r="AL14" s="19">
        <f t="shared" si="7"/>
        <v>12.320069670000001</v>
      </c>
      <c r="AM14" s="20">
        <f>AI14/Assumptions!$B$13</f>
        <v>0.16773528329854445</v>
      </c>
      <c r="AN14" s="20">
        <f>AK14/Assumptions!$B$13</f>
        <v>0.14736455690965602</v>
      </c>
      <c r="AO14" s="19">
        <f t="shared" si="8"/>
        <v>5.6707053917004746</v>
      </c>
      <c r="AP14" s="17">
        <f>H14*Assumptions!$B$16/1000000000000</f>
        <v>260.88909518354058</v>
      </c>
      <c r="AQ14" s="14">
        <f>AP14/Assumptions!$B$9</f>
        <v>65.222273795885144</v>
      </c>
      <c r="AR14" s="20">
        <f>AQ14/Assumptions!$B$11</f>
        <v>6.5222273795885147E-2</v>
      </c>
      <c r="AS14" s="14">
        <f t="shared" si="9"/>
        <v>76.778900442674612</v>
      </c>
      <c r="AT14" s="14">
        <f>Assumptions!$B$21*O14/100</f>
        <v>3.7848818662109367</v>
      </c>
      <c r="AU14" s="14">
        <f>Assumptions!$B$21*P14/100</f>
        <v>6.4786266178385405</v>
      </c>
      <c r="AV14" s="18">
        <f>H14/(K14*Assumptions!$B$9)</f>
        <v>1.8815564792258581</v>
      </c>
      <c r="AW14" s="18">
        <f t="shared" si="10"/>
        <v>8.3348330205414004E-2</v>
      </c>
    </row>
    <row r="15" spans="1:49" x14ac:dyDescent="0.2">
      <c r="A15" s="16">
        <v>128</v>
      </c>
      <c r="B15" s="16">
        <v>1024</v>
      </c>
      <c r="C15" s="16">
        <v>50</v>
      </c>
      <c r="D15" s="16">
        <v>100</v>
      </c>
      <c r="E15" s="16">
        <v>59</v>
      </c>
      <c r="F15" s="17">
        <v>96.186656074714904</v>
      </c>
      <c r="G15" s="14">
        <v>41.483857764543103</v>
      </c>
      <c r="H15" s="17">
        <v>1933.1991268710101</v>
      </c>
      <c r="I15" s="14">
        <v>89.7</v>
      </c>
      <c r="J15" s="16">
        <v>100</v>
      </c>
      <c r="K15" s="14">
        <v>246.5</v>
      </c>
      <c r="L15" s="14">
        <v>294.7</v>
      </c>
      <c r="M15" s="13">
        <v>87187</v>
      </c>
      <c r="N15" s="13">
        <v>87187</v>
      </c>
      <c r="O15" s="14">
        <v>5.45</v>
      </c>
      <c r="P15" s="14">
        <v>10.199999999999999</v>
      </c>
      <c r="Q15" s="18">
        <v>0.91268103448275895</v>
      </c>
      <c r="R15" s="18">
        <v>0.996</v>
      </c>
      <c r="S15" s="18">
        <v>0.31627586206896602</v>
      </c>
      <c r="T15" s="18">
        <v>0.54600000000000004</v>
      </c>
      <c r="U15" s="18">
        <v>2.6181034482758599E-2</v>
      </c>
      <c r="V15" s="18">
        <v>5.0999999999999997E-2</v>
      </c>
      <c r="W15" s="18">
        <v>0.113137931034483</v>
      </c>
      <c r="X15" s="18">
        <v>0.157</v>
      </c>
      <c r="Y15" s="18">
        <v>0.32580172413793101</v>
      </c>
      <c r="Z15" s="18">
        <v>0.54200000000000004</v>
      </c>
      <c r="AA15" s="13">
        <v>10824532276.681</v>
      </c>
      <c r="AB15" s="13">
        <v>14404616277</v>
      </c>
      <c r="AC15" s="13">
        <v>9495497028.8706894</v>
      </c>
      <c r="AD15" s="13">
        <v>12756124263</v>
      </c>
      <c r="AE15" s="13">
        <f t="shared" si="0"/>
        <v>1152</v>
      </c>
      <c r="AF15" s="14">
        <f t="shared" si="1"/>
        <v>2</v>
      </c>
      <c r="AG15" s="14">
        <f t="shared" si="2"/>
        <v>57</v>
      </c>
      <c r="AH15" s="19">
        <f t="shared" si="3"/>
        <v>1.6949152542372881</v>
      </c>
      <c r="AI15" s="19">
        <f t="shared" si="4"/>
        <v>10.824532276680999</v>
      </c>
      <c r="AJ15" s="19">
        <f t="shared" si="5"/>
        <v>14.404616277000001</v>
      </c>
      <c r="AK15" s="19">
        <f t="shared" si="6"/>
        <v>9.4954970288706892</v>
      </c>
      <c r="AL15" s="19">
        <f t="shared" si="7"/>
        <v>12.756124263</v>
      </c>
      <c r="AM15" s="20">
        <f>AI15/Assumptions!$B$13</f>
        <v>0.17181797264573015</v>
      </c>
      <c r="AN15" s="20">
        <f>AK15/Assumptions!$B$13</f>
        <v>0.15072217506143951</v>
      </c>
      <c r="AO15" s="19">
        <f t="shared" si="8"/>
        <v>5.5992846914849927</v>
      </c>
      <c r="AP15" s="17">
        <f>H15*Assumptions!$B$16/1000000000000</f>
        <v>270.6478777619414</v>
      </c>
      <c r="AQ15" s="14">
        <f>AP15/Assumptions!$B$9</f>
        <v>67.66196944048535</v>
      </c>
      <c r="AR15" s="20">
        <f>AQ15/Assumptions!$B$11</f>
        <v>6.7661969440485345E-2</v>
      </c>
      <c r="AS15" s="14">
        <f t="shared" si="9"/>
        <v>80.196557609655898</v>
      </c>
      <c r="AT15" s="14">
        <f>Assumptions!$B$21*O15/100</f>
        <v>3.7166857965494788</v>
      </c>
      <c r="AU15" s="14">
        <f>Assumptions!$B$21*P15/100</f>
        <v>6.9559991054687487</v>
      </c>
      <c r="AV15" s="18">
        <f>H15/(K15*Assumptions!$B$9)</f>
        <v>1.9606482016947364</v>
      </c>
      <c r="AW15" s="18">
        <f t="shared" si="10"/>
        <v>8.2779110335804429E-2</v>
      </c>
    </row>
    <row r="16" spans="1:49" x14ac:dyDescent="0.2">
      <c r="A16" s="16">
        <v>128</v>
      </c>
      <c r="B16" s="16">
        <v>1024</v>
      </c>
      <c r="C16" s="16">
        <v>100</v>
      </c>
      <c r="D16" s="16">
        <v>100</v>
      </c>
      <c r="E16" s="16">
        <v>58</v>
      </c>
      <c r="F16" s="17">
        <v>99.055541149573401</v>
      </c>
      <c r="G16" s="14">
        <v>41.520212690957997</v>
      </c>
      <c r="H16" s="17">
        <v>1953.8000341634499</v>
      </c>
      <c r="I16" s="14">
        <v>89.3</v>
      </c>
      <c r="J16" s="16">
        <v>100</v>
      </c>
      <c r="K16" s="14">
        <v>244.4</v>
      </c>
      <c r="L16" s="14">
        <v>295.10000000000002</v>
      </c>
      <c r="M16" s="13">
        <v>87187</v>
      </c>
      <c r="N16" s="13">
        <v>87187</v>
      </c>
      <c r="O16" s="14">
        <v>5.5166666666666702</v>
      </c>
      <c r="P16" s="14">
        <v>9.6</v>
      </c>
      <c r="Q16" s="18">
        <v>0.90397321428571398</v>
      </c>
      <c r="R16" s="18">
        <v>0.996</v>
      </c>
      <c r="S16" s="18">
        <v>0.306785714285714</v>
      </c>
      <c r="T16" s="18">
        <v>0.498</v>
      </c>
      <c r="U16" s="18">
        <v>2.52142857142857E-2</v>
      </c>
      <c r="V16" s="18">
        <v>4.5999999999999999E-2</v>
      </c>
      <c r="W16" s="18">
        <v>0.113196428571429</v>
      </c>
      <c r="X16" s="18">
        <v>0.156</v>
      </c>
      <c r="Y16" s="18">
        <v>0.317571428571429</v>
      </c>
      <c r="Z16" s="18">
        <v>0.48699999999999999</v>
      </c>
      <c r="AA16" s="13">
        <v>10998758756.2321</v>
      </c>
      <c r="AB16" s="13">
        <v>14012242781</v>
      </c>
      <c r="AC16" s="13">
        <v>9646796137.875</v>
      </c>
      <c r="AD16" s="13">
        <v>12470699230</v>
      </c>
      <c r="AE16" s="13">
        <f t="shared" si="0"/>
        <v>1152</v>
      </c>
      <c r="AF16" s="14">
        <f t="shared" si="1"/>
        <v>1</v>
      </c>
      <c r="AG16" s="14">
        <f t="shared" si="2"/>
        <v>57</v>
      </c>
      <c r="AH16" s="19">
        <f t="shared" si="3"/>
        <v>1.7241379310344827</v>
      </c>
      <c r="AI16" s="19">
        <f t="shared" si="4"/>
        <v>10.9987587562321</v>
      </c>
      <c r="AJ16" s="19">
        <f t="shared" si="5"/>
        <v>14.012242780999999</v>
      </c>
      <c r="AK16" s="19">
        <f t="shared" si="6"/>
        <v>9.6467961378750005</v>
      </c>
      <c r="AL16" s="19">
        <f t="shared" si="7"/>
        <v>12.470699229999999</v>
      </c>
      <c r="AM16" s="20">
        <f>AI16/Assumptions!$B$13</f>
        <v>0.17458347232114443</v>
      </c>
      <c r="AN16" s="20">
        <f>AK16/Assumptions!$B$13</f>
        <v>0.15312374822023811</v>
      </c>
      <c r="AO16" s="19">
        <f t="shared" si="8"/>
        <v>5.6294188575656312</v>
      </c>
      <c r="AP16" s="17">
        <f>H16*Assumptions!$B$16/1000000000000</f>
        <v>273.53200478288301</v>
      </c>
      <c r="AQ16" s="14">
        <f>AP16/Assumptions!$B$9</f>
        <v>68.383001195720752</v>
      </c>
      <c r="AR16" s="20">
        <f>AQ16/Assumptions!$B$11</f>
        <v>6.8383001195720758E-2</v>
      </c>
      <c r="AS16" s="14">
        <f t="shared" si="9"/>
        <v>81.122192974067445</v>
      </c>
      <c r="AT16" s="14">
        <f>Assumptions!$B$21*O16/100</f>
        <v>3.7621498429904534</v>
      </c>
      <c r="AU16" s="14">
        <f>Assumptions!$B$21*P16/100</f>
        <v>6.5468226874999997</v>
      </c>
      <c r="AV16" s="18">
        <f>H16/(K16*Assumptions!$B$9)</f>
        <v>1.9985679563865077</v>
      </c>
      <c r="AW16" s="18">
        <f t="shared" si="10"/>
        <v>8.2188591385331813E-2</v>
      </c>
    </row>
    <row r="17" spans="1:49" x14ac:dyDescent="0.2">
      <c r="A17" s="16">
        <v>128</v>
      </c>
      <c r="B17" s="16">
        <v>2048</v>
      </c>
      <c r="C17" s="16">
        <v>5</v>
      </c>
      <c r="D17" s="16">
        <v>100</v>
      </c>
      <c r="E17" s="16">
        <v>131</v>
      </c>
      <c r="F17" s="17">
        <v>118.055901242769</v>
      </c>
      <c r="G17" s="14">
        <v>43.7246708123998</v>
      </c>
      <c r="H17" s="17">
        <v>1653.1418385786301</v>
      </c>
      <c r="I17" s="14">
        <v>93.9</v>
      </c>
      <c r="J17" s="16">
        <v>100</v>
      </c>
      <c r="K17" s="14">
        <v>262.5</v>
      </c>
      <c r="L17" s="14">
        <v>307.10000000000002</v>
      </c>
      <c r="M17" s="13">
        <v>87138.1</v>
      </c>
      <c r="N17" s="13">
        <v>87185</v>
      </c>
      <c r="O17" s="14">
        <v>9.7461538461538506</v>
      </c>
      <c r="P17" s="14">
        <v>18.3</v>
      </c>
      <c r="Q17" s="18">
        <v>0.945365384615385</v>
      </c>
      <c r="R17" s="18">
        <v>0.996</v>
      </c>
      <c r="S17" s="18">
        <v>0.37169999999999997</v>
      </c>
      <c r="T17" s="18">
        <v>0.56299999999999994</v>
      </c>
      <c r="U17" s="18">
        <v>3.0680769230769199E-2</v>
      </c>
      <c r="V17" s="18">
        <v>5.5E-2</v>
      </c>
      <c r="W17" s="18">
        <v>0.120653846153846</v>
      </c>
      <c r="X17" s="18">
        <v>0.17599999999999999</v>
      </c>
      <c r="Y17" s="18">
        <v>0.37331153846153797</v>
      </c>
      <c r="Z17" s="18">
        <v>0.56399999999999995</v>
      </c>
      <c r="AA17" s="13">
        <v>10379937395.0231</v>
      </c>
      <c r="AB17" s="13">
        <v>15446945854</v>
      </c>
      <c r="AC17" s="13">
        <v>9112427970.8961506</v>
      </c>
      <c r="AD17" s="13">
        <v>13716402030</v>
      </c>
      <c r="AE17" s="13">
        <f t="shared" si="0"/>
        <v>2176</v>
      </c>
      <c r="AF17" s="14">
        <f t="shared" si="1"/>
        <v>20</v>
      </c>
      <c r="AG17" s="14">
        <f t="shared" si="2"/>
        <v>111</v>
      </c>
      <c r="AH17" s="19">
        <f t="shared" si="3"/>
        <v>0.76335877862595425</v>
      </c>
      <c r="AI17" s="19">
        <f t="shared" si="4"/>
        <v>10.3799373950231</v>
      </c>
      <c r="AJ17" s="19">
        <f t="shared" si="5"/>
        <v>15.446945854000001</v>
      </c>
      <c r="AK17" s="19">
        <f t="shared" si="6"/>
        <v>9.1124279708961513</v>
      </c>
      <c r="AL17" s="19">
        <f t="shared" si="7"/>
        <v>13.716402029999999</v>
      </c>
      <c r="AM17" s="20">
        <f>AI17/Assumptions!$B$13</f>
        <v>0.16476091103211271</v>
      </c>
      <c r="AN17" s="20">
        <f>AK17/Assumptions!$B$13</f>
        <v>0.14464171382374844</v>
      </c>
      <c r="AO17" s="19">
        <f t="shared" si="8"/>
        <v>6.2789151860966514</v>
      </c>
      <c r="AP17" s="17">
        <f>H17*Assumptions!$B$16/1000000000000</f>
        <v>231.43985740100823</v>
      </c>
      <c r="AQ17" s="14">
        <f>AP17/Assumptions!$B$9</f>
        <v>57.859964350252056</v>
      </c>
      <c r="AR17" s="20">
        <f>AQ17/Assumptions!$B$11</f>
        <v>5.7859964350252056E-2</v>
      </c>
      <c r="AS17" s="14">
        <f t="shared" si="9"/>
        <v>72.283082698055964</v>
      </c>
      <c r="AT17" s="14">
        <f>Assumptions!$B$21*O17/100</f>
        <v>6.6464938662359794</v>
      </c>
      <c r="AU17" s="14">
        <f>Assumptions!$B$21*P17/100</f>
        <v>12.479880748046874</v>
      </c>
      <c r="AV17" s="18">
        <f>H17/(K17*Assumptions!$B$9)</f>
        <v>1.5744207986463143</v>
      </c>
      <c r="AW17" s="18">
        <f t="shared" si="10"/>
        <v>8.2541752033277377E-2</v>
      </c>
    </row>
    <row r="18" spans="1:49" x14ac:dyDescent="0.2">
      <c r="A18" s="16">
        <v>128</v>
      </c>
      <c r="B18" s="16">
        <v>2048</v>
      </c>
      <c r="C18" s="16">
        <v>10</v>
      </c>
      <c r="D18" s="16">
        <v>100</v>
      </c>
      <c r="E18" s="16">
        <v>121</v>
      </c>
      <c r="F18" s="17">
        <v>90.876407418982097</v>
      </c>
      <c r="G18" s="14">
        <v>43.544903423105197</v>
      </c>
      <c r="H18" s="17">
        <v>1768.55663193743</v>
      </c>
      <c r="I18" s="14">
        <v>94.7</v>
      </c>
      <c r="J18" s="16">
        <v>100</v>
      </c>
      <c r="K18" s="14">
        <v>258.5</v>
      </c>
      <c r="L18" s="14">
        <v>306</v>
      </c>
      <c r="M18" s="13">
        <v>87185</v>
      </c>
      <c r="N18" s="13">
        <v>87185</v>
      </c>
      <c r="O18" s="14">
        <v>10.5416666666667</v>
      </c>
      <c r="P18" s="14">
        <v>18.5</v>
      </c>
      <c r="Q18" s="18">
        <v>0.95346249999999999</v>
      </c>
      <c r="R18" s="18">
        <v>0.996</v>
      </c>
      <c r="S18" s="18">
        <v>0.36828749999999999</v>
      </c>
      <c r="T18" s="18">
        <v>0.56399999999999995</v>
      </c>
      <c r="U18" s="18">
        <v>2.97166666666666E-2</v>
      </c>
      <c r="V18" s="18">
        <v>5.5E-2</v>
      </c>
      <c r="W18" s="18">
        <v>0.12001249999999999</v>
      </c>
      <c r="X18" s="18">
        <v>0.16300000000000001</v>
      </c>
      <c r="Y18" s="18">
        <v>0.37664999999999998</v>
      </c>
      <c r="Z18" s="18">
        <v>0.56399999999999995</v>
      </c>
      <c r="AA18" s="13">
        <v>10544105347.262501</v>
      </c>
      <c r="AB18" s="13">
        <v>13713326807</v>
      </c>
      <c r="AC18" s="13">
        <v>9251007287</v>
      </c>
      <c r="AD18" s="13">
        <v>12196600048</v>
      </c>
      <c r="AE18" s="13">
        <f t="shared" si="0"/>
        <v>2176</v>
      </c>
      <c r="AF18" s="14">
        <f t="shared" si="1"/>
        <v>10</v>
      </c>
      <c r="AG18" s="14">
        <f t="shared" si="2"/>
        <v>111</v>
      </c>
      <c r="AH18" s="19">
        <f t="shared" si="3"/>
        <v>0.82644628099173556</v>
      </c>
      <c r="AI18" s="19">
        <f t="shared" si="4"/>
        <v>10.544105347262501</v>
      </c>
      <c r="AJ18" s="19">
        <f t="shared" si="5"/>
        <v>13.713326807</v>
      </c>
      <c r="AK18" s="19">
        <f t="shared" si="6"/>
        <v>9.2510072870000002</v>
      </c>
      <c r="AL18" s="19">
        <f t="shared" si="7"/>
        <v>12.196600048000001</v>
      </c>
      <c r="AM18" s="20">
        <f>AI18/Assumptions!$B$13</f>
        <v>0.16736675154384922</v>
      </c>
      <c r="AN18" s="20">
        <f>AK18/Assumptions!$B$13</f>
        <v>0.14684138550793652</v>
      </c>
      <c r="AO18" s="19">
        <f t="shared" si="8"/>
        <v>5.9619834371442071</v>
      </c>
      <c r="AP18" s="17">
        <f>H18*Assumptions!$B$16/1000000000000</f>
        <v>247.59792847124018</v>
      </c>
      <c r="AQ18" s="14">
        <f>AP18/Assumptions!$B$9</f>
        <v>61.899482117810045</v>
      </c>
      <c r="AR18" s="20">
        <f>AQ18/Assumptions!$B$11</f>
        <v>6.1899482117810045E-2</v>
      </c>
      <c r="AS18" s="14">
        <f t="shared" si="9"/>
        <v>77.011627736007597</v>
      </c>
      <c r="AT18" s="14">
        <f>Assumptions!$B$21*O18/100</f>
        <v>7.1890023434787542</v>
      </c>
      <c r="AU18" s="14">
        <f>Assumptions!$B$21*P18/100</f>
        <v>12.616272887369789</v>
      </c>
      <c r="AV18" s="18">
        <f>H18/(K18*Assumptions!$B$9)</f>
        <v>1.7104029322412282</v>
      </c>
      <c r="AW18" s="18">
        <f t="shared" si="10"/>
        <v>8.0688773489913726E-2</v>
      </c>
    </row>
    <row r="19" spans="1:49" x14ac:dyDescent="0.2">
      <c r="A19" s="16">
        <v>128</v>
      </c>
      <c r="B19" s="16">
        <v>2048</v>
      </c>
      <c r="C19" s="16">
        <v>20</v>
      </c>
      <c r="D19" s="16">
        <v>100</v>
      </c>
      <c r="E19" s="16">
        <v>118</v>
      </c>
      <c r="F19" s="17">
        <v>90.003977132728295</v>
      </c>
      <c r="G19" s="14">
        <v>43.746908996535197</v>
      </c>
      <c r="H19" s="17">
        <v>1823.61851710628</v>
      </c>
      <c r="I19" s="14">
        <v>94.7</v>
      </c>
      <c r="J19" s="16">
        <v>100</v>
      </c>
      <c r="K19" s="14">
        <v>257.8</v>
      </c>
      <c r="L19" s="14">
        <v>308.2</v>
      </c>
      <c r="M19" s="13">
        <v>87185</v>
      </c>
      <c r="N19" s="13">
        <v>87185</v>
      </c>
      <c r="O19" s="14">
        <v>10.5583333333333</v>
      </c>
      <c r="P19" s="14">
        <v>18.600000000000001</v>
      </c>
      <c r="Q19" s="18">
        <v>0.95107758620689598</v>
      </c>
      <c r="R19" s="18">
        <v>0.996</v>
      </c>
      <c r="S19" s="18">
        <v>0.36028448275862102</v>
      </c>
      <c r="T19" s="18">
        <v>0.55500000000000005</v>
      </c>
      <c r="U19" s="18">
        <v>2.8741379310344799E-2</v>
      </c>
      <c r="V19" s="18">
        <v>5.0999999999999997E-2</v>
      </c>
      <c r="W19" s="18">
        <v>0.121086206896552</v>
      </c>
      <c r="X19" s="18">
        <v>0.16</v>
      </c>
      <c r="Y19" s="18">
        <v>0.37153879310344801</v>
      </c>
      <c r="Z19" s="18">
        <v>0.58099999999999996</v>
      </c>
      <c r="AA19" s="13">
        <v>10803878465.7759</v>
      </c>
      <c r="AB19" s="13">
        <v>13570356902</v>
      </c>
      <c r="AC19" s="13">
        <v>9474342976.6034508</v>
      </c>
      <c r="AD19" s="13">
        <v>11981395245</v>
      </c>
      <c r="AE19" s="13">
        <f t="shared" si="0"/>
        <v>2176</v>
      </c>
      <c r="AF19" s="14">
        <f t="shared" si="1"/>
        <v>5</v>
      </c>
      <c r="AG19" s="14">
        <f t="shared" si="2"/>
        <v>113</v>
      </c>
      <c r="AH19" s="19">
        <f t="shared" si="3"/>
        <v>0.84745762711864403</v>
      </c>
      <c r="AI19" s="19">
        <f t="shared" si="4"/>
        <v>10.803878465775901</v>
      </c>
      <c r="AJ19" s="19">
        <f t="shared" si="5"/>
        <v>13.570356902</v>
      </c>
      <c r="AK19" s="19">
        <f t="shared" si="6"/>
        <v>9.4743429766034506</v>
      </c>
      <c r="AL19" s="19">
        <f t="shared" si="7"/>
        <v>11.981395245</v>
      </c>
      <c r="AM19" s="20">
        <f>AI19/Assumptions!$B$13</f>
        <v>0.17149013437739524</v>
      </c>
      <c r="AN19" s="20">
        <f>AK19/Assumptions!$B$13</f>
        <v>0.15038639645402302</v>
      </c>
      <c r="AO19" s="19">
        <f t="shared" si="8"/>
        <v>5.924418053683457</v>
      </c>
      <c r="AP19" s="17">
        <f>H19*Assumptions!$B$16/1000000000000</f>
        <v>255.30659239487923</v>
      </c>
      <c r="AQ19" s="14">
        <f>AP19/Assumptions!$B$9</f>
        <v>63.826648098719808</v>
      </c>
      <c r="AR19" s="20">
        <f>AQ19/Assumptions!$B$11</f>
        <v>6.382664809871981E-2</v>
      </c>
      <c r="AS19" s="14">
        <f t="shared" si="9"/>
        <v>79.7776733122449</v>
      </c>
      <c r="AT19" s="14">
        <f>Assumptions!$B$21*O19/100</f>
        <v>7.2003683550889512</v>
      </c>
      <c r="AU19" s="14">
        <f>Assumptions!$B$21*P19/100</f>
        <v>12.68446895703125</v>
      </c>
      <c r="AV19" s="18">
        <f>H19/(K19*Assumptions!$B$9)</f>
        <v>1.7684430926166408</v>
      </c>
      <c r="AW19" s="18">
        <f t="shared" si="10"/>
        <v>7.9774124853444206E-2</v>
      </c>
    </row>
    <row r="20" spans="1:49" x14ac:dyDescent="0.2">
      <c r="A20" s="16">
        <v>128</v>
      </c>
      <c r="B20" s="16">
        <v>2048</v>
      </c>
      <c r="C20" s="16">
        <v>50</v>
      </c>
      <c r="D20" s="16">
        <v>100</v>
      </c>
      <c r="E20" s="16">
        <v>116</v>
      </c>
      <c r="F20" s="17">
        <v>96.615044797072201</v>
      </c>
      <c r="G20" s="14">
        <v>43.864736497002603</v>
      </c>
      <c r="H20" s="17">
        <v>1850.60109830635</v>
      </c>
      <c r="I20" s="14">
        <v>94.6</v>
      </c>
      <c r="J20" s="16">
        <v>100</v>
      </c>
      <c r="K20" s="14">
        <v>257.89999999999998</v>
      </c>
      <c r="L20" s="14">
        <v>300.60000000000002</v>
      </c>
      <c r="M20" s="13">
        <v>87185</v>
      </c>
      <c r="N20" s="13">
        <v>87185</v>
      </c>
      <c r="O20" s="14">
        <v>11.472727272727299</v>
      </c>
      <c r="P20" s="14">
        <v>18.8</v>
      </c>
      <c r="Q20" s="18">
        <v>0.95027192982456099</v>
      </c>
      <c r="R20" s="18">
        <v>0.996</v>
      </c>
      <c r="S20" s="18">
        <v>0.35758333333333298</v>
      </c>
      <c r="T20" s="18">
        <v>0.55800000000000005</v>
      </c>
      <c r="U20" s="18">
        <v>2.84649122807017E-2</v>
      </c>
      <c r="V20" s="18">
        <v>5.0999999999999997E-2</v>
      </c>
      <c r="W20" s="18">
        <v>0.1215</v>
      </c>
      <c r="X20" s="18">
        <v>0.158</v>
      </c>
      <c r="Y20" s="18">
        <v>0.37091629955947097</v>
      </c>
      <c r="Z20" s="18">
        <v>0.55300000000000005</v>
      </c>
      <c r="AA20" s="13">
        <v>10844605393.8421</v>
      </c>
      <c r="AB20" s="13">
        <v>13575548327</v>
      </c>
      <c r="AC20" s="13">
        <v>9506759033.7149105</v>
      </c>
      <c r="AD20" s="13">
        <v>11958874666</v>
      </c>
      <c r="AE20" s="13">
        <f t="shared" si="0"/>
        <v>2176</v>
      </c>
      <c r="AF20" s="14">
        <f t="shared" si="1"/>
        <v>2</v>
      </c>
      <c r="AG20" s="14">
        <f t="shared" si="2"/>
        <v>114</v>
      </c>
      <c r="AH20" s="19">
        <f t="shared" si="3"/>
        <v>0.86206896551724133</v>
      </c>
      <c r="AI20" s="19">
        <f t="shared" si="4"/>
        <v>10.8446053938421</v>
      </c>
      <c r="AJ20" s="19">
        <f t="shared" si="5"/>
        <v>13.575548327</v>
      </c>
      <c r="AK20" s="19">
        <f t="shared" si="6"/>
        <v>9.5067590337149106</v>
      </c>
      <c r="AL20" s="19">
        <f t="shared" si="7"/>
        <v>11.958874666</v>
      </c>
      <c r="AM20" s="20">
        <f>AI20/Assumptions!$B$13</f>
        <v>0.17213659355304919</v>
      </c>
      <c r="AN20" s="20">
        <f>AK20/Assumptions!$B$13</f>
        <v>0.15090093704309382</v>
      </c>
      <c r="AO20" s="19">
        <f t="shared" si="8"/>
        <v>5.8600448274709045</v>
      </c>
      <c r="AP20" s="17">
        <f>H20*Assumptions!$B$16/1000000000000</f>
        <v>259.084153762889</v>
      </c>
      <c r="AQ20" s="14">
        <f>AP20/Assumptions!$B$9</f>
        <v>64.771038440722251</v>
      </c>
      <c r="AR20" s="20">
        <f>AQ20/Assumptions!$B$11</f>
        <v>6.4771038440722253E-2</v>
      </c>
      <c r="AS20" s="14">
        <f t="shared" si="9"/>
        <v>81.176129538271653</v>
      </c>
      <c r="AT20" s="14">
        <f>Assumptions!$B$21*O20/100</f>
        <v>7.8239490829782365</v>
      </c>
      <c r="AU20" s="14">
        <f>Assumptions!$B$21*P20/100</f>
        <v>12.820861096354164</v>
      </c>
      <c r="AV20" s="18">
        <f>H20/(K20*Assumptions!$B$9)</f>
        <v>1.7939134337983231</v>
      </c>
      <c r="AW20" s="18">
        <f t="shared" si="10"/>
        <v>7.9603576641440396E-2</v>
      </c>
    </row>
    <row r="21" spans="1:49" x14ac:dyDescent="0.2">
      <c r="A21" s="16">
        <v>128</v>
      </c>
      <c r="B21" s="16">
        <v>2048</v>
      </c>
      <c r="C21" s="16">
        <v>100</v>
      </c>
      <c r="D21" s="16">
        <v>100</v>
      </c>
      <c r="E21" s="16">
        <v>117</v>
      </c>
      <c r="F21" s="17">
        <v>99.984574469272005</v>
      </c>
      <c r="G21" s="14">
        <v>43.999038672633802</v>
      </c>
      <c r="H21" s="17">
        <v>1855.5331658717701</v>
      </c>
      <c r="I21" s="14">
        <v>94.6</v>
      </c>
      <c r="J21" s="16">
        <v>100</v>
      </c>
      <c r="K21" s="14">
        <v>257.89999999999998</v>
      </c>
      <c r="L21" s="14">
        <v>301.60000000000002</v>
      </c>
      <c r="M21" s="13">
        <v>87185</v>
      </c>
      <c r="N21" s="13">
        <v>87185</v>
      </c>
      <c r="O21" s="14">
        <v>10.625</v>
      </c>
      <c r="P21" s="14">
        <v>18.8</v>
      </c>
      <c r="Q21" s="18">
        <v>0.95154385964912302</v>
      </c>
      <c r="R21" s="18">
        <v>0.996</v>
      </c>
      <c r="S21" s="18">
        <v>0.35862719298245599</v>
      </c>
      <c r="T21" s="18">
        <v>0.55500000000000005</v>
      </c>
      <c r="U21" s="18">
        <v>2.8691629955947099E-2</v>
      </c>
      <c r="V21" s="18">
        <v>5.0999999999999997E-2</v>
      </c>
      <c r="W21" s="18">
        <v>0.121709251101322</v>
      </c>
      <c r="X21" s="18">
        <v>0.158</v>
      </c>
      <c r="Y21" s="18">
        <v>0.37252654867256602</v>
      </c>
      <c r="Z21" s="18">
        <v>0.57899999999999996</v>
      </c>
      <c r="AA21" s="13">
        <v>10828335378.7544</v>
      </c>
      <c r="AB21" s="13">
        <v>13799948777</v>
      </c>
      <c r="AC21" s="13">
        <v>9491910977.0307007</v>
      </c>
      <c r="AD21" s="13">
        <v>12081524425</v>
      </c>
      <c r="AE21" s="13">
        <f t="shared" si="0"/>
        <v>2176</v>
      </c>
      <c r="AF21" s="14">
        <f t="shared" si="1"/>
        <v>1</v>
      </c>
      <c r="AG21" s="14">
        <f t="shared" si="2"/>
        <v>116</v>
      </c>
      <c r="AH21" s="19">
        <f t="shared" si="3"/>
        <v>0.85470085470085466</v>
      </c>
      <c r="AI21" s="19">
        <f t="shared" si="4"/>
        <v>10.828335378754399</v>
      </c>
      <c r="AJ21" s="19">
        <f t="shared" si="5"/>
        <v>13.799948777000001</v>
      </c>
      <c r="AK21" s="19">
        <f t="shared" si="6"/>
        <v>9.4919109770307006</v>
      </c>
      <c r="AL21" s="19">
        <f t="shared" si="7"/>
        <v>12.081524425</v>
      </c>
      <c r="AM21" s="20">
        <f>AI21/Assumptions!$B$13</f>
        <v>0.17187833934530794</v>
      </c>
      <c r="AN21" s="20">
        <f>AK21/Assumptions!$B$13</f>
        <v>0.15066525360366192</v>
      </c>
      <c r="AO21" s="19">
        <f t="shared" si="8"/>
        <v>5.8357002601282044</v>
      </c>
      <c r="AP21" s="17">
        <f>H21*Assumptions!$B$16/1000000000000</f>
        <v>259.77464322204781</v>
      </c>
      <c r="AQ21" s="14">
        <f>AP21/Assumptions!$B$9</f>
        <v>64.943660805511954</v>
      </c>
      <c r="AR21" s="20">
        <f>AQ21/Assumptions!$B$11</f>
        <v>6.4943660805511949E-2</v>
      </c>
      <c r="AS21" s="14">
        <f t="shared" si="9"/>
        <v>81.641675523546638</v>
      </c>
      <c r="AT21" s="14">
        <f>Assumptions!$B$21*O21/100</f>
        <v>7.2458324015299471</v>
      </c>
      <c r="AU21" s="14">
        <f>Assumptions!$B$21*P21/100</f>
        <v>12.820861096354164</v>
      </c>
      <c r="AV21" s="18">
        <f>H21/(K21*Assumptions!$B$9)</f>
        <v>1.7986944221323868</v>
      </c>
      <c r="AW21" s="18">
        <f t="shared" si="10"/>
        <v>8.0004055792140372E-2</v>
      </c>
    </row>
    <row r="22" spans="1:49" x14ac:dyDescent="0.2">
      <c r="A22" s="16">
        <v>128</v>
      </c>
      <c r="B22" s="16">
        <v>5120</v>
      </c>
      <c r="C22" s="16">
        <v>5</v>
      </c>
      <c r="D22" s="16">
        <v>100</v>
      </c>
      <c r="E22" s="16">
        <v>335</v>
      </c>
      <c r="F22" s="17">
        <v>90.390360078890794</v>
      </c>
      <c r="G22" s="14">
        <v>50.625480465213698</v>
      </c>
      <c r="H22" s="17">
        <v>1550.4854059546401</v>
      </c>
      <c r="I22" s="14">
        <v>98</v>
      </c>
      <c r="J22" s="16">
        <v>100</v>
      </c>
      <c r="K22" s="14">
        <v>280.60000000000002</v>
      </c>
      <c r="L22" s="14">
        <v>324.39999999999998</v>
      </c>
      <c r="M22" s="13">
        <v>87185</v>
      </c>
      <c r="N22" s="13">
        <v>87185</v>
      </c>
      <c r="O22" s="14">
        <v>25.797058823529401</v>
      </c>
      <c r="P22" s="14">
        <v>43.9</v>
      </c>
      <c r="Q22" s="18">
        <v>0.97961976047904198</v>
      </c>
      <c r="R22" s="18">
        <v>0.997</v>
      </c>
      <c r="S22" s="18">
        <v>0.45193113772455101</v>
      </c>
      <c r="T22" s="18">
        <v>0.57799999999999996</v>
      </c>
      <c r="U22" s="18">
        <v>3.4166416791604197E-2</v>
      </c>
      <c r="V22" s="18">
        <v>5.5E-2</v>
      </c>
      <c r="W22" s="18">
        <v>0.13370914542728601</v>
      </c>
      <c r="X22" s="18">
        <v>0.16900000000000001</v>
      </c>
      <c r="Y22" s="18">
        <v>0.45994294294294302</v>
      </c>
      <c r="Z22" s="18">
        <v>0.57899999999999996</v>
      </c>
      <c r="AA22" s="13">
        <v>9421971198.1032906</v>
      </c>
      <c r="AB22" s="13">
        <v>14451115180</v>
      </c>
      <c r="AC22" s="13">
        <v>8266185146.4910202</v>
      </c>
      <c r="AD22" s="13">
        <v>12881256292</v>
      </c>
      <c r="AE22" s="13">
        <f t="shared" si="0"/>
        <v>5248</v>
      </c>
      <c r="AF22" s="14">
        <f t="shared" si="1"/>
        <v>20</v>
      </c>
      <c r="AG22" s="14">
        <f t="shared" si="2"/>
        <v>315</v>
      </c>
      <c r="AH22" s="19">
        <f t="shared" si="3"/>
        <v>0.29850746268656714</v>
      </c>
      <c r="AI22" s="19">
        <f t="shared" si="4"/>
        <v>9.4219711981032912</v>
      </c>
      <c r="AJ22" s="19">
        <f t="shared" si="5"/>
        <v>14.45111518</v>
      </c>
      <c r="AK22" s="19">
        <f t="shared" si="6"/>
        <v>8.2661851464910203</v>
      </c>
      <c r="AL22" s="19">
        <f t="shared" si="7"/>
        <v>12.881256292</v>
      </c>
      <c r="AM22" s="20">
        <f>AI22/Assumptions!$B$13</f>
        <v>0.14955509838259193</v>
      </c>
      <c r="AN22" s="20">
        <f>AK22/Assumptions!$B$13</f>
        <v>0.13120928803954002</v>
      </c>
      <c r="AO22" s="19">
        <f t="shared" si="8"/>
        <v>6.0767880574162163</v>
      </c>
      <c r="AP22" s="17">
        <f>H22*Assumptions!$B$16/1000000000000</f>
        <v>217.06795683364962</v>
      </c>
      <c r="AQ22" s="14">
        <f>AP22/Assumptions!$B$9</f>
        <v>54.266989208412404</v>
      </c>
      <c r="AR22" s="20">
        <f>AQ22/Assumptions!$B$11</f>
        <v>5.4266989208412407E-2</v>
      </c>
      <c r="AS22" s="14">
        <f t="shared" si="9"/>
        <v>78.494068630755564</v>
      </c>
      <c r="AT22" s="14">
        <f>Assumptions!$B$21*O22/100</f>
        <v>17.592580205901491</v>
      </c>
      <c r="AU22" s="14">
        <f>Assumptions!$B$21*P22/100</f>
        <v>29.938074581380203</v>
      </c>
      <c r="AV22" s="18">
        <f>H22/(K22*Assumptions!$B$9)</f>
        <v>1.3814018228391305</v>
      </c>
      <c r="AW22" s="18">
        <f t="shared" si="10"/>
        <v>7.5600935495682531E-2</v>
      </c>
    </row>
    <row r="23" spans="1:49" x14ac:dyDescent="0.2">
      <c r="A23" s="16">
        <v>128</v>
      </c>
      <c r="B23" s="16">
        <v>5120</v>
      </c>
      <c r="C23" s="16">
        <v>10</v>
      </c>
      <c r="D23" s="16">
        <v>100</v>
      </c>
      <c r="E23" s="16">
        <v>328</v>
      </c>
      <c r="F23" s="17">
        <v>90.9864867565921</v>
      </c>
      <c r="G23" s="14">
        <v>50.877557498298003</v>
      </c>
      <c r="H23" s="17">
        <v>1580.5023314182799</v>
      </c>
      <c r="I23" s="14">
        <v>98</v>
      </c>
      <c r="J23" s="16">
        <v>100</v>
      </c>
      <c r="K23" s="14">
        <v>280.7</v>
      </c>
      <c r="L23" s="14">
        <v>324.3</v>
      </c>
      <c r="M23" s="13">
        <v>87185</v>
      </c>
      <c r="N23" s="13">
        <v>87185</v>
      </c>
      <c r="O23" s="14">
        <v>26.7030303030303</v>
      </c>
      <c r="P23" s="14">
        <v>44.6</v>
      </c>
      <c r="Q23" s="18">
        <v>0.97948773006135004</v>
      </c>
      <c r="R23" s="18">
        <v>0.997</v>
      </c>
      <c r="S23" s="18">
        <v>0.44856748466257701</v>
      </c>
      <c r="T23" s="18">
        <v>0.57799999999999996</v>
      </c>
      <c r="U23" s="18">
        <v>3.3424846625766801E-2</v>
      </c>
      <c r="V23" s="18">
        <v>5.1999999999999998E-2</v>
      </c>
      <c r="W23" s="18">
        <v>0.13459662576687101</v>
      </c>
      <c r="X23" s="18">
        <v>0.17</v>
      </c>
      <c r="Y23" s="18">
        <v>0.45498466257668702</v>
      </c>
      <c r="Z23" s="18">
        <v>0.58699999999999997</v>
      </c>
      <c r="AA23" s="13">
        <v>9585851228.4110394</v>
      </c>
      <c r="AB23" s="13">
        <v>14026089182</v>
      </c>
      <c r="AC23" s="13">
        <v>8406901023.9647198</v>
      </c>
      <c r="AD23" s="13">
        <v>12490658377</v>
      </c>
      <c r="AE23" s="13">
        <f t="shared" si="0"/>
        <v>5248</v>
      </c>
      <c r="AF23" s="14">
        <f t="shared" si="1"/>
        <v>10</v>
      </c>
      <c r="AG23" s="14">
        <f t="shared" si="2"/>
        <v>318</v>
      </c>
      <c r="AH23" s="19">
        <f t="shared" si="3"/>
        <v>0.3048780487804878</v>
      </c>
      <c r="AI23" s="19">
        <f t="shared" si="4"/>
        <v>9.5858512284110393</v>
      </c>
      <c r="AJ23" s="19">
        <f t="shared" si="5"/>
        <v>14.026089182</v>
      </c>
      <c r="AK23" s="19">
        <f t="shared" si="6"/>
        <v>8.4069010239647195</v>
      </c>
      <c r="AL23" s="19">
        <f t="shared" si="7"/>
        <v>12.490658377000001</v>
      </c>
      <c r="AM23" s="20">
        <f>AI23/Assumptions!$B$13</f>
        <v>0.15215636870493712</v>
      </c>
      <c r="AN23" s="20">
        <f>AK23/Assumptions!$B$13</f>
        <v>0.1334428733962654</v>
      </c>
      <c r="AO23" s="19">
        <f t="shared" si="8"/>
        <v>6.0650661741252083</v>
      </c>
      <c r="AP23" s="17">
        <f>H23*Assumptions!$B$16/1000000000000</f>
        <v>221.27032639855918</v>
      </c>
      <c r="AQ23" s="14">
        <f>AP23/Assumptions!$B$9</f>
        <v>55.317581599639794</v>
      </c>
      <c r="AR23" s="20">
        <f>AQ23/Assumptions!$B$11</f>
        <v>5.5317581599639794E-2</v>
      </c>
      <c r="AS23" s="14">
        <f t="shared" si="9"/>
        <v>80.412098242927584</v>
      </c>
      <c r="AT23" s="14">
        <f>Assumptions!$B$21*O23/100</f>
        <v>18.210417147174869</v>
      </c>
      <c r="AU23" s="14">
        <f>Assumptions!$B$21*P23/100</f>
        <v>30.415447069010416</v>
      </c>
      <c r="AV23" s="18">
        <f>H23/(K23*Assumptions!$B$9)</f>
        <v>1.4076436866924475</v>
      </c>
      <c r="AW23" s="18">
        <f t="shared" si="10"/>
        <v>7.4514644437301908E-2</v>
      </c>
    </row>
    <row r="24" spans="1:49" x14ac:dyDescent="0.2">
      <c r="A24" s="16">
        <v>128</v>
      </c>
      <c r="B24" s="16">
        <v>5120</v>
      </c>
      <c r="C24" s="16">
        <v>20</v>
      </c>
      <c r="D24" s="16">
        <v>100</v>
      </c>
      <c r="E24" s="16">
        <v>326</v>
      </c>
      <c r="F24" s="17">
        <v>88.496750296908402</v>
      </c>
      <c r="G24" s="14">
        <v>50.937523984030598</v>
      </c>
      <c r="H24" s="17">
        <v>1593.14674989534</v>
      </c>
      <c r="I24" s="14">
        <v>98</v>
      </c>
      <c r="J24" s="16">
        <v>100</v>
      </c>
      <c r="K24" s="14">
        <v>280.5</v>
      </c>
      <c r="L24" s="14">
        <v>324.7</v>
      </c>
      <c r="M24" s="13">
        <v>87185</v>
      </c>
      <c r="N24" s="13">
        <v>87185</v>
      </c>
      <c r="O24" s="14">
        <v>27.643750000000001</v>
      </c>
      <c r="P24" s="14">
        <v>44.5</v>
      </c>
      <c r="Q24" s="18">
        <v>0.97945833333333299</v>
      </c>
      <c r="R24" s="18">
        <v>1</v>
      </c>
      <c r="S24" s="18">
        <v>0.448237654320988</v>
      </c>
      <c r="T24" s="18">
        <v>0.57799999999999996</v>
      </c>
      <c r="U24" s="18">
        <v>3.35293209876543E-2</v>
      </c>
      <c r="V24" s="18">
        <v>5.3999999999999999E-2</v>
      </c>
      <c r="W24" s="18">
        <v>0.134699074074074</v>
      </c>
      <c r="X24" s="18">
        <v>0.16800000000000001</v>
      </c>
      <c r="Y24" s="18">
        <v>0.45647993827160499</v>
      </c>
      <c r="Z24" s="18">
        <v>0.60699999999999998</v>
      </c>
      <c r="AA24" s="13">
        <v>9561287131.5277805</v>
      </c>
      <c r="AB24" s="13">
        <v>13715441803</v>
      </c>
      <c r="AC24" s="13">
        <v>8382959433.7669802</v>
      </c>
      <c r="AD24" s="13">
        <v>12006501287</v>
      </c>
      <c r="AE24" s="13">
        <f t="shared" si="0"/>
        <v>5248</v>
      </c>
      <c r="AF24" s="14">
        <f t="shared" si="1"/>
        <v>5</v>
      </c>
      <c r="AG24" s="14">
        <f t="shared" si="2"/>
        <v>321</v>
      </c>
      <c r="AH24" s="19">
        <f t="shared" si="3"/>
        <v>0.30674846625766872</v>
      </c>
      <c r="AI24" s="19">
        <f t="shared" si="4"/>
        <v>9.5612871315277808</v>
      </c>
      <c r="AJ24" s="19">
        <f t="shared" si="5"/>
        <v>13.715441802999999</v>
      </c>
      <c r="AK24" s="19">
        <f t="shared" si="6"/>
        <v>8.382959433766981</v>
      </c>
      <c r="AL24" s="19">
        <f t="shared" si="7"/>
        <v>12.006501287000001</v>
      </c>
      <c r="AM24" s="20">
        <f>AI24/Assumptions!$B$13</f>
        <v>0.15176646240520286</v>
      </c>
      <c r="AN24" s="20">
        <f>AK24/Assumptions!$B$13</f>
        <v>0.13306284815503144</v>
      </c>
      <c r="AO24" s="19">
        <f t="shared" si="8"/>
        <v>6.0015106154884341</v>
      </c>
      <c r="AP24" s="17">
        <f>H24*Assumptions!$B$16/1000000000000</f>
        <v>223.04054498534759</v>
      </c>
      <c r="AQ24" s="14">
        <f>AP24/Assumptions!$B$9</f>
        <v>55.760136246336899</v>
      </c>
      <c r="AR24" s="20">
        <f>AQ24/Assumptions!$B$11</f>
        <v>5.5760136246336897E-2</v>
      </c>
      <c r="AS24" s="14">
        <f t="shared" si="9"/>
        <v>81.150950782874276</v>
      </c>
      <c r="AT24" s="14">
        <f>Assumptions!$B$21*O24/100</f>
        <v>18.851951007039386</v>
      </c>
      <c r="AU24" s="14">
        <f>Assumptions!$B$21*P24/100</f>
        <v>30.347250999348955</v>
      </c>
      <c r="AV24" s="18">
        <f>H24/(K24*Assumptions!$B$9)</f>
        <v>1.419916889389786</v>
      </c>
      <c r="AW24" s="18">
        <f t="shared" si="10"/>
        <v>7.4802553209069714E-2</v>
      </c>
    </row>
    <row r="25" spans="1:49" x14ac:dyDescent="0.2">
      <c r="A25" s="16">
        <v>128</v>
      </c>
      <c r="B25" s="16">
        <v>5120</v>
      </c>
      <c r="C25" s="16">
        <v>50</v>
      </c>
      <c r="D25" s="16">
        <v>100</v>
      </c>
      <c r="E25" s="16">
        <v>325</v>
      </c>
      <c r="F25" s="17">
        <v>93.619770158547894</v>
      </c>
      <c r="G25" s="14">
        <v>51.046724295456897</v>
      </c>
      <c r="H25" s="17">
        <v>1598.8463257834501</v>
      </c>
      <c r="I25" s="14">
        <v>98</v>
      </c>
      <c r="J25" s="16">
        <v>100</v>
      </c>
      <c r="K25" s="14">
        <v>280.89999999999998</v>
      </c>
      <c r="L25" s="14">
        <v>324.89999999999998</v>
      </c>
      <c r="M25" s="13">
        <v>87185</v>
      </c>
      <c r="N25" s="13">
        <v>87185</v>
      </c>
      <c r="O25" s="14">
        <v>27.684374999999999</v>
      </c>
      <c r="P25" s="14">
        <v>44.9</v>
      </c>
      <c r="Q25" s="18">
        <v>0.97949074074074105</v>
      </c>
      <c r="R25" s="18">
        <v>0.997</v>
      </c>
      <c r="S25" s="18">
        <v>0.44867283950617298</v>
      </c>
      <c r="T25" s="18">
        <v>0.57799999999999996</v>
      </c>
      <c r="U25" s="18">
        <v>3.3539412673879401E-2</v>
      </c>
      <c r="V25" s="18">
        <v>5.5E-2</v>
      </c>
      <c r="W25" s="18">
        <v>0.13440340030911899</v>
      </c>
      <c r="X25" s="18">
        <v>0.16800000000000001</v>
      </c>
      <c r="Y25" s="18">
        <v>0.45698142414860699</v>
      </c>
      <c r="Z25" s="18">
        <v>0.59099999999999997</v>
      </c>
      <c r="AA25" s="13">
        <v>9529040374.0833302</v>
      </c>
      <c r="AB25" s="13">
        <v>13515974241</v>
      </c>
      <c r="AC25" s="13">
        <v>8353191793.2546301</v>
      </c>
      <c r="AD25" s="13">
        <v>11831879171</v>
      </c>
      <c r="AE25" s="13">
        <f t="shared" si="0"/>
        <v>5248</v>
      </c>
      <c r="AF25" s="14">
        <f t="shared" si="1"/>
        <v>2</v>
      </c>
      <c r="AG25" s="14">
        <f t="shared" si="2"/>
        <v>323</v>
      </c>
      <c r="AH25" s="19">
        <f t="shared" si="3"/>
        <v>0.30769230769230771</v>
      </c>
      <c r="AI25" s="19">
        <f t="shared" si="4"/>
        <v>9.5290403740833298</v>
      </c>
      <c r="AJ25" s="19">
        <f t="shared" si="5"/>
        <v>13.515974241</v>
      </c>
      <c r="AK25" s="19">
        <f t="shared" si="6"/>
        <v>8.3531917932546307</v>
      </c>
      <c r="AL25" s="19">
        <f t="shared" si="7"/>
        <v>11.831879171000001</v>
      </c>
      <c r="AM25" s="20">
        <f>AI25/Assumptions!$B$13</f>
        <v>0.1512546091124338</v>
      </c>
      <c r="AN25" s="20">
        <f>AK25/Assumptions!$B$13</f>
        <v>0.13259034592467667</v>
      </c>
      <c r="AO25" s="19">
        <f t="shared" si="8"/>
        <v>5.9599476324993326</v>
      </c>
      <c r="AP25" s="17">
        <f>H25*Assumptions!$B$16/1000000000000</f>
        <v>223.838485609683</v>
      </c>
      <c r="AQ25" s="14">
        <f>AP25/Assumptions!$B$9</f>
        <v>55.959621402420751</v>
      </c>
      <c r="AR25" s="20">
        <f>AQ25/Assumptions!$B$11</f>
        <v>5.5959621402420751E-2</v>
      </c>
      <c r="AS25" s="14">
        <f t="shared" si="9"/>
        <v>81.615867583072031</v>
      </c>
      <c r="AT25" s="14">
        <f>Assumptions!$B$21*O25/100</f>
        <v>18.879655660339353</v>
      </c>
      <c r="AU25" s="14">
        <f>Assumptions!$B$21*P25/100</f>
        <v>30.620035277994784</v>
      </c>
      <c r="AV25" s="18">
        <f>H25/(K25*Assumptions!$B$9)</f>
        <v>1.4229675380771183</v>
      </c>
      <c r="AW25" s="18">
        <f t="shared" si="10"/>
        <v>7.4752491616818614E-2</v>
      </c>
    </row>
    <row r="26" spans="1:49" x14ac:dyDescent="0.2">
      <c r="A26" s="16">
        <v>128</v>
      </c>
      <c r="B26" s="16">
        <v>5120</v>
      </c>
      <c r="C26" s="16">
        <v>100</v>
      </c>
      <c r="D26" s="16">
        <v>100</v>
      </c>
      <c r="E26" s="16">
        <v>324</v>
      </c>
      <c r="F26" s="17">
        <v>96.630788531037993</v>
      </c>
      <c r="G26" s="14">
        <v>51.051732925239101</v>
      </c>
      <c r="H26" s="17">
        <v>1601.60857655061</v>
      </c>
      <c r="I26" s="14">
        <v>98</v>
      </c>
      <c r="J26" s="16">
        <v>100</v>
      </c>
      <c r="K26" s="14">
        <v>280.7</v>
      </c>
      <c r="L26" s="14">
        <v>323</v>
      </c>
      <c r="M26" s="13">
        <v>87185</v>
      </c>
      <c r="N26" s="13">
        <v>87185</v>
      </c>
      <c r="O26" s="14">
        <v>27.643750000000001</v>
      </c>
      <c r="P26" s="14">
        <v>44.9</v>
      </c>
      <c r="Q26" s="18">
        <v>0.97953571428571395</v>
      </c>
      <c r="R26" s="18">
        <v>1</v>
      </c>
      <c r="S26" s="18">
        <v>0.44773602484472003</v>
      </c>
      <c r="T26" s="18">
        <v>0.57799999999999996</v>
      </c>
      <c r="U26" s="18">
        <v>3.3358695652173899E-2</v>
      </c>
      <c r="V26" s="18">
        <v>5.5E-2</v>
      </c>
      <c r="W26" s="18">
        <v>0.13436956521739099</v>
      </c>
      <c r="X26" s="18">
        <v>0.16900000000000001</v>
      </c>
      <c r="Y26" s="18">
        <v>0.45503416149068299</v>
      </c>
      <c r="Z26" s="18">
        <v>0.57899999999999996</v>
      </c>
      <c r="AA26" s="13">
        <v>9574301541.2919197</v>
      </c>
      <c r="AB26" s="13">
        <v>13567694189</v>
      </c>
      <c r="AC26" s="13">
        <v>8390483997.1102505</v>
      </c>
      <c r="AD26" s="13">
        <v>11888885649</v>
      </c>
      <c r="AE26" s="13">
        <f t="shared" si="0"/>
        <v>5248</v>
      </c>
      <c r="AF26" s="14">
        <f t="shared" si="1"/>
        <v>1</v>
      </c>
      <c r="AG26" s="14">
        <f t="shared" si="2"/>
        <v>323</v>
      </c>
      <c r="AH26" s="19">
        <f t="shared" si="3"/>
        <v>0.30864197530864196</v>
      </c>
      <c r="AI26" s="19">
        <f t="shared" si="4"/>
        <v>9.5743015412919199</v>
      </c>
      <c r="AJ26" s="19">
        <f t="shared" si="5"/>
        <v>13.567694188999999</v>
      </c>
      <c r="AK26" s="19">
        <f t="shared" si="6"/>
        <v>8.3904839971102501</v>
      </c>
      <c r="AL26" s="19">
        <f t="shared" si="7"/>
        <v>11.888885649000001</v>
      </c>
      <c r="AM26" s="20">
        <f>AI26/Assumptions!$B$13</f>
        <v>0.15197304033796699</v>
      </c>
      <c r="AN26" s="20">
        <f>AK26/Assumptions!$B$13</f>
        <v>0.13318228566841667</v>
      </c>
      <c r="AO26" s="19">
        <f t="shared" si="8"/>
        <v>5.9779284910624826</v>
      </c>
      <c r="AP26" s="17">
        <f>H26*Assumptions!$B$16/1000000000000</f>
        <v>224.22520071708541</v>
      </c>
      <c r="AQ26" s="14">
        <f>AP26/Assumptions!$B$9</f>
        <v>56.056300179271354</v>
      </c>
      <c r="AR26" s="20">
        <f>AQ26/Assumptions!$B$11</f>
        <v>5.6056300179271351E-2</v>
      </c>
      <c r="AS26" s="14">
        <f t="shared" si="9"/>
        <v>81.764893300834117</v>
      </c>
      <c r="AT26" s="14">
        <f>Assumptions!$B$21*O26/100</f>
        <v>18.851951007039386</v>
      </c>
      <c r="AU26" s="14">
        <f>Assumptions!$B$21*P26/100</f>
        <v>30.620035277994784</v>
      </c>
      <c r="AV26" s="18">
        <f>H26/(K26*Assumptions!$B$9)</f>
        <v>1.4264415537500981</v>
      </c>
      <c r="AW26" s="18">
        <f t="shared" si="10"/>
        <v>7.4505274985954231E-2</v>
      </c>
    </row>
    <row r="27" spans="1:49" x14ac:dyDescent="0.2">
      <c r="A27" s="16">
        <v>128</v>
      </c>
      <c r="B27" s="16">
        <v>10240</v>
      </c>
      <c r="C27" s="16">
        <v>5</v>
      </c>
      <c r="D27" s="16">
        <v>100</v>
      </c>
      <c r="E27" s="16">
        <v>798</v>
      </c>
      <c r="F27" s="17">
        <v>120.83919633878401</v>
      </c>
      <c r="G27" s="14">
        <v>62.593271342083199</v>
      </c>
      <c r="H27" s="17">
        <v>1286.99537689766</v>
      </c>
      <c r="I27" s="14">
        <v>99.2</v>
      </c>
      <c r="J27" s="16">
        <v>100</v>
      </c>
      <c r="K27" s="14">
        <v>301.39999999999998</v>
      </c>
      <c r="L27" s="14">
        <v>343.3</v>
      </c>
      <c r="M27" s="13">
        <v>87177.600000000006</v>
      </c>
      <c r="N27" s="13">
        <v>87185</v>
      </c>
      <c r="O27" s="14">
        <v>55.437974683544297</v>
      </c>
      <c r="P27" s="14">
        <v>88.2</v>
      </c>
      <c r="Q27" s="18">
        <v>0.98907017543859599</v>
      </c>
      <c r="R27" s="18">
        <v>0.998</v>
      </c>
      <c r="S27" s="18">
        <v>0.53739786967418601</v>
      </c>
      <c r="T27" s="18">
        <v>0.66900000000000004</v>
      </c>
      <c r="U27" s="18">
        <v>3.8347335423197397E-2</v>
      </c>
      <c r="V27" s="18">
        <v>5.5E-2</v>
      </c>
      <c r="W27" s="18">
        <v>0.14900438871473401</v>
      </c>
      <c r="X27" s="18">
        <v>0.18</v>
      </c>
      <c r="Y27" s="18">
        <v>0.54707653701380199</v>
      </c>
      <c r="Z27" s="18">
        <v>0.67700000000000005</v>
      </c>
      <c r="AA27" s="13">
        <v>7896731166.61028</v>
      </c>
      <c r="AB27" s="13">
        <v>15543114755</v>
      </c>
      <c r="AC27" s="13">
        <v>6926720354.8132801</v>
      </c>
      <c r="AD27" s="13">
        <v>13770764677</v>
      </c>
      <c r="AE27" s="13">
        <f t="shared" si="0"/>
        <v>10368</v>
      </c>
      <c r="AF27" s="14">
        <f t="shared" si="1"/>
        <v>20</v>
      </c>
      <c r="AG27" s="14">
        <f t="shared" si="2"/>
        <v>778</v>
      </c>
      <c r="AH27" s="19">
        <f t="shared" si="3"/>
        <v>0.12531328320802004</v>
      </c>
      <c r="AI27" s="19">
        <f t="shared" si="4"/>
        <v>7.8967311666102802</v>
      </c>
      <c r="AJ27" s="19">
        <f t="shared" si="5"/>
        <v>15.543114755</v>
      </c>
      <c r="AK27" s="19">
        <f t="shared" si="6"/>
        <v>6.9267203548132805</v>
      </c>
      <c r="AL27" s="19">
        <f t="shared" si="7"/>
        <v>13.770764677000001</v>
      </c>
      <c r="AM27" s="20">
        <f>AI27/Assumptions!$B$13</f>
        <v>0.12534493915254413</v>
      </c>
      <c r="AN27" s="20">
        <f>AK27/Assumptions!$B$13</f>
        <v>0.10994794213989334</v>
      </c>
      <c r="AO27" s="19">
        <f t="shared" si="8"/>
        <v>6.1357882929195764</v>
      </c>
      <c r="AP27" s="17">
        <f>H27*Assumptions!$B$16/1000000000000</f>
        <v>180.17935276567241</v>
      </c>
      <c r="AQ27" s="14">
        <f>AP27/Assumptions!$B$9</f>
        <v>45.044838191418101</v>
      </c>
      <c r="AR27" s="20">
        <f>AQ27/Assumptions!$B$11</f>
        <v>4.50448381914181E-2</v>
      </c>
      <c r="AS27" s="14">
        <f t="shared" si="9"/>
        <v>80.557250842161864</v>
      </c>
      <c r="AT27" s="14">
        <f>Assumptions!$B$21*O27/100</f>
        <v>37.806519834091503</v>
      </c>
      <c r="AU27" s="14">
        <f>Assumptions!$B$21*P27/100</f>
        <v>60.148933441406243</v>
      </c>
      <c r="AV27" s="18">
        <f>H27/(K27*Assumptions!$B$9)</f>
        <v>1.0675144134851196</v>
      </c>
      <c r="AW27" s="18">
        <f t="shared" si="10"/>
        <v>7.13574384774667E-2</v>
      </c>
    </row>
    <row r="28" spans="1:49" x14ac:dyDescent="0.2">
      <c r="A28" s="16">
        <v>128</v>
      </c>
      <c r="B28" s="16">
        <v>10240</v>
      </c>
      <c r="C28" s="16">
        <v>10</v>
      </c>
      <c r="D28" s="16">
        <v>100</v>
      </c>
      <c r="E28" s="16">
        <v>794</v>
      </c>
      <c r="F28" s="17">
        <v>100.54687118390601</v>
      </c>
      <c r="G28" s="14">
        <v>62.7033170076513</v>
      </c>
      <c r="H28" s="17">
        <v>1294.3982638954899</v>
      </c>
      <c r="I28" s="14">
        <v>99.2</v>
      </c>
      <c r="J28" s="16">
        <v>100</v>
      </c>
      <c r="K28" s="14">
        <v>300.2</v>
      </c>
      <c r="L28" s="14">
        <v>347</v>
      </c>
      <c r="M28" s="13">
        <v>87185</v>
      </c>
      <c r="N28" s="13">
        <v>87185</v>
      </c>
      <c r="O28" s="14">
        <v>54.835000000000001</v>
      </c>
      <c r="P28" s="14">
        <v>88.3</v>
      </c>
      <c r="Q28" s="18">
        <v>0.98924999999999996</v>
      </c>
      <c r="R28" s="18">
        <v>1</v>
      </c>
      <c r="S28" s="18">
        <v>0.539815025252525</v>
      </c>
      <c r="T28" s="18">
        <v>0.66600000000000004</v>
      </c>
      <c r="U28" s="18">
        <v>3.8319444444444399E-2</v>
      </c>
      <c r="V28" s="18">
        <v>5.5E-2</v>
      </c>
      <c r="W28" s="18">
        <v>0.148478535353535</v>
      </c>
      <c r="X28" s="18">
        <v>0.17899999999999999</v>
      </c>
      <c r="Y28" s="18">
        <v>0.54739330808080799</v>
      </c>
      <c r="Z28" s="18">
        <v>0.67900000000000005</v>
      </c>
      <c r="AA28" s="13">
        <v>7835799679.0265198</v>
      </c>
      <c r="AB28" s="13">
        <v>15347681658</v>
      </c>
      <c r="AC28" s="13">
        <v>6871635532.6957102</v>
      </c>
      <c r="AD28" s="13">
        <v>13445942793</v>
      </c>
      <c r="AE28" s="13">
        <f t="shared" si="0"/>
        <v>10368</v>
      </c>
      <c r="AF28" s="14">
        <f t="shared" si="1"/>
        <v>10</v>
      </c>
      <c r="AG28" s="14">
        <f t="shared" si="2"/>
        <v>784</v>
      </c>
      <c r="AH28" s="19">
        <f t="shared" si="3"/>
        <v>0.12594458438287154</v>
      </c>
      <c r="AI28" s="19">
        <f t="shared" si="4"/>
        <v>7.8357996790265201</v>
      </c>
      <c r="AJ28" s="19">
        <f t="shared" si="5"/>
        <v>15.347681658000001</v>
      </c>
      <c r="AK28" s="19">
        <f t="shared" si="6"/>
        <v>6.8716355326957101</v>
      </c>
      <c r="AL28" s="19">
        <f t="shared" si="7"/>
        <v>13.445942793</v>
      </c>
      <c r="AM28" s="20">
        <f>AI28/Assumptions!$B$13</f>
        <v>0.12437777268296063</v>
      </c>
      <c r="AN28" s="20">
        <f>AK28/Assumptions!$B$13</f>
        <v>0.10907357988405889</v>
      </c>
      <c r="AO28" s="19">
        <f t="shared" si="8"/>
        <v>6.0536234461908887</v>
      </c>
      <c r="AP28" s="17">
        <f>H28*Assumptions!$B$16/1000000000000</f>
        <v>181.21575694536858</v>
      </c>
      <c r="AQ28" s="14">
        <f>AP28/Assumptions!$B$9</f>
        <v>45.303939236342146</v>
      </c>
      <c r="AR28" s="20">
        <f>AQ28/Assumptions!$B$11</f>
        <v>4.5303939236342149E-2</v>
      </c>
      <c r="AS28" s="14">
        <f t="shared" si="9"/>
        <v>81.163064675192388</v>
      </c>
      <c r="AT28" s="14">
        <f>Assumptions!$B$21*O28/100</f>
        <v>37.395314798860674</v>
      </c>
      <c r="AU28" s="14">
        <f>Assumptions!$B$21*P28/100</f>
        <v>60.217129511067697</v>
      </c>
      <c r="AV28" s="18">
        <f>H28/(K28*Assumptions!$B$9)</f>
        <v>1.0779465888536726</v>
      </c>
      <c r="AW28" s="18">
        <f t="shared" si="10"/>
        <v>7.0986250200276657E-2</v>
      </c>
    </row>
    <row r="29" spans="1:49" x14ac:dyDescent="0.2">
      <c r="A29" s="16">
        <v>128</v>
      </c>
      <c r="B29" s="16">
        <v>10240</v>
      </c>
      <c r="C29" s="16">
        <v>20</v>
      </c>
      <c r="D29" s="16">
        <v>100</v>
      </c>
      <c r="E29" s="16">
        <v>792</v>
      </c>
      <c r="F29" s="17">
        <v>106.26711100922</v>
      </c>
      <c r="G29" s="14">
        <v>62.7942704223343</v>
      </c>
      <c r="H29" s="17">
        <v>1297.473532684</v>
      </c>
      <c r="I29" s="14">
        <v>99.2</v>
      </c>
      <c r="J29" s="16">
        <v>100</v>
      </c>
      <c r="K29" s="14">
        <v>300.5</v>
      </c>
      <c r="L29" s="14">
        <v>348.5</v>
      </c>
      <c r="M29" s="13">
        <v>87185</v>
      </c>
      <c r="N29" s="13">
        <v>87185</v>
      </c>
      <c r="O29" s="14">
        <v>54.822499999999998</v>
      </c>
      <c r="P29" s="14">
        <v>88.6</v>
      </c>
      <c r="Q29" s="18">
        <v>0.98960253164556999</v>
      </c>
      <c r="R29" s="18">
        <v>0.998</v>
      </c>
      <c r="S29" s="18">
        <v>0.53996518987341802</v>
      </c>
      <c r="T29" s="18">
        <v>0.66500000000000004</v>
      </c>
      <c r="U29" s="18">
        <v>3.8310126582278399E-2</v>
      </c>
      <c r="V29" s="18">
        <v>5.5E-2</v>
      </c>
      <c r="W29" s="18">
        <v>0.14845632911392401</v>
      </c>
      <c r="X29" s="18">
        <v>0.17899999999999999</v>
      </c>
      <c r="Y29" s="18">
        <v>0.54718481012658204</v>
      </c>
      <c r="Z29" s="18">
        <v>0.67600000000000005</v>
      </c>
      <c r="AA29" s="13">
        <v>7829880623.22785</v>
      </c>
      <c r="AB29" s="13">
        <v>14072644334</v>
      </c>
      <c r="AC29" s="13">
        <v>6865800991.2392397</v>
      </c>
      <c r="AD29" s="13">
        <v>12394972413</v>
      </c>
      <c r="AE29" s="13">
        <f t="shared" si="0"/>
        <v>10368</v>
      </c>
      <c r="AF29" s="14">
        <f t="shared" si="1"/>
        <v>5</v>
      </c>
      <c r="AG29" s="14">
        <f t="shared" si="2"/>
        <v>787</v>
      </c>
      <c r="AH29" s="19">
        <f t="shared" si="3"/>
        <v>0.12626262626262627</v>
      </c>
      <c r="AI29" s="19">
        <f t="shared" si="4"/>
        <v>7.8298806232278499</v>
      </c>
      <c r="AJ29" s="19">
        <f t="shared" si="5"/>
        <v>14.072644334</v>
      </c>
      <c r="AK29" s="19">
        <f t="shared" si="6"/>
        <v>6.8658009912392393</v>
      </c>
      <c r="AL29" s="19">
        <f t="shared" si="7"/>
        <v>12.394972413</v>
      </c>
      <c r="AM29" s="20">
        <f>AI29/Assumptions!$B$13</f>
        <v>0.12428381941631508</v>
      </c>
      <c r="AN29" s="20">
        <f>AK29/Assumptions!$B$13</f>
        <v>0.10898096811490857</v>
      </c>
      <c r="AO29" s="19">
        <f t="shared" si="8"/>
        <v>6.0347131760219259</v>
      </c>
      <c r="AP29" s="17">
        <f>H29*Assumptions!$B$16/1000000000000</f>
        <v>181.64629457576001</v>
      </c>
      <c r="AQ29" s="14">
        <f>AP29/Assumptions!$B$9</f>
        <v>45.411573643940002</v>
      </c>
      <c r="AR29" s="20">
        <f>AQ29/Assumptions!$B$11</f>
        <v>4.5411573643940002E-2</v>
      </c>
      <c r="AS29" s="14">
        <f t="shared" si="9"/>
        <v>81.47390387718049</v>
      </c>
      <c r="AT29" s="14">
        <f>Assumptions!$B$21*O29/100</f>
        <v>37.386790290152987</v>
      </c>
      <c r="AU29" s="14">
        <f>Assumptions!$B$21*P29/100</f>
        <v>60.421717720052072</v>
      </c>
      <c r="AV29" s="18">
        <f>H29/(K29*Assumptions!$B$9)</f>
        <v>1.0794288957437603</v>
      </c>
      <c r="AW29" s="18">
        <f t="shared" si="10"/>
        <v>7.0949252471736737E-2</v>
      </c>
    </row>
    <row r="30" spans="1:49" x14ac:dyDescent="0.2">
      <c r="A30" s="16">
        <v>128</v>
      </c>
      <c r="B30" s="16">
        <v>10240</v>
      </c>
      <c r="C30" s="16">
        <v>50</v>
      </c>
      <c r="D30" s="16">
        <v>100</v>
      </c>
      <c r="E30" s="16">
        <v>791</v>
      </c>
      <c r="F30" s="17">
        <v>125.62036600778799</v>
      </c>
      <c r="G30" s="14">
        <v>62.902448939636201</v>
      </c>
      <c r="H30" s="17">
        <v>1298.20317799846</v>
      </c>
      <c r="I30" s="14">
        <v>99.2</v>
      </c>
      <c r="J30" s="16">
        <v>100</v>
      </c>
      <c r="K30" s="14">
        <v>302.39999999999998</v>
      </c>
      <c r="L30" s="14">
        <v>348.4</v>
      </c>
      <c r="M30" s="13">
        <v>87185</v>
      </c>
      <c r="N30" s="13">
        <v>87185</v>
      </c>
      <c r="O30" s="14">
        <v>56.35</v>
      </c>
      <c r="P30" s="14">
        <v>89.1</v>
      </c>
      <c r="Q30" s="18">
        <v>0.989620886075949</v>
      </c>
      <c r="R30" s="18">
        <v>1</v>
      </c>
      <c r="S30" s="18">
        <v>0.53978607594936701</v>
      </c>
      <c r="T30" s="18">
        <v>0.66800000000000004</v>
      </c>
      <c r="U30" s="18">
        <v>3.8279113924050603E-2</v>
      </c>
      <c r="V30" s="18">
        <v>5.5E-2</v>
      </c>
      <c r="W30" s="18">
        <v>0.14827911392405099</v>
      </c>
      <c r="X30" s="18">
        <v>0.17899999999999999</v>
      </c>
      <c r="Y30" s="18">
        <v>0.54723037974683497</v>
      </c>
      <c r="Z30" s="18">
        <v>0.67800000000000005</v>
      </c>
      <c r="AA30" s="13">
        <v>7821184945.91329</v>
      </c>
      <c r="AB30" s="13">
        <v>16144678957</v>
      </c>
      <c r="AC30" s="13">
        <v>6858575844.8189898</v>
      </c>
      <c r="AD30" s="13">
        <v>14156487190</v>
      </c>
      <c r="AE30" s="13">
        <f t="shared" si="0"/>
        <v>10368</v>
      </c>
      <c r="AF30" s="14">
        <f t="shared" si="1"/>
        <v>2</v>
      </c>
      <c r="AG30" s="14">
        <f t="shared" si="2"/>
        <v>789</v>
      </c>
      <c r="AH30" s="19">
        <f t="shared" si="3"/>
        <v>0.12642225031605561</v>
      </c>
      <c r="AI30" s="19">
        <f t="shared" si="4"/>
        <v>7.8211849459132896</v>
      </c>
      <c r="AJ30" s="19">
        <f t="shared" si="5"/>
        <v>16.144678957</v>
      </c>
      <c r="AK30" s="19">
        <f t="shared" si="6"/>
        <v>6.85857584481899</v>
      </c>
      <c r="AL30" s="19">
        <f t="shared" si="7"/>
        <v>14.15648719</v>
      </c>
      <c r="AM30" s="20">
        <f>AI30/Assumptions!$B$13</f>
        <v>0.12414579279227443</v>
      </c>
      <c r="AN30" s="20">
        <f>AK30/Assumptions!$B$13</f>
        <v>0.10886628325109508</v>
      </c>
      <c r="AO30" s="19">
        <f t="shared" si="8"/>
        <v>6.0246231702897344</v>
      </c>
      <c r="AP30" s="17">
        <f>H30*Assumptions!$B$16/1000000000000</f>
        <v>181.74844491978442</v>
      </c>
      <c r="AQ30" s="14">
        <f>AP30/Assumptions!$B$9</f>
        <v>45.437111229946105</v>
      </c>
      <c r="AR30" s="20">
        <f>AQ30/Assumptions!$B$11</f>
        <v>4.5437111229946106E-2</v>
      </c>
      <c r="AS30" s="14">
        <f t="shared" si="9"/>
        <v>81.66015911732157</v>
      </c>
      <c r="AT30" s="14">
        <f>Assumptions!$B$21*O30/100</f>
        <v>38.428485254231767</v>
      </c>
      <c r="AU30" s="14">
        <f>Assumptions!$B$21*P30/100</f>
        <v>60.762698068359356</v>
      </c>
      <c r="AV30" s="18">
        <f>H30/(K30*Assumptions!$B$9)</f>
        <v>1.0732499818108963</v>
      </c>
      <c r="AW30" s="18">
        <f t="shared" si="10"/>
        <v>7.0915341520668015E-2</v>
      </c>
    </row>
    <row r="31" spans="1:49" x14ac:dyDescent="0.2">
      <c r="A31" s="16">
        <v>128</v>
      </c>
      <c r="B31" s="16">
        <v>10240</v>
      </c>
      <c r="C31" s="16">
        <v>100</v>
      </c>
      <c r="D31" s="16">
        <v>100</v>
      </c>
      <c r="E31" s="16">
        <v>791</v>
      </c>
      <c r="F31" s="17">
        <v>171.65484133583999</v>
      </c>
      <c r="G31" s="14">
        <v>62.831956257654198</v>
      </c>
      <c r="H31" s="17">
        <v>1300.2576883745101</v>
      </c>
      <c r="I31" s="14">
        <v>98.9</v>
      </c>
      <c r="J31" s="16">
        <v>100</v>
      </c>
      <c r="K31" s="14">
        <v>304.7</v>
      </c>
      <c r="L31" s="14">
        <v>349.3</v>
      </c>
      <c r="M31" s="13">
        <v>87185</v>
      </c>
      <c r="N31" s="13">
        <v>87185</v>
      </c>
      <c r="O31" s="14">
        <v>55.706329113924099</v>
      </c>
      <c r="P31" s="14">
        <v>88.7</v>
      </c>
      <c r="Q31" s="18">
        <v>0.988654187817259</v>
      </c>
      <c r="R31" s="18">
        <v>1</v>
      </c>
      <c r="S31" s="18">
        <v>0.53998667512690401</v>
      </c>
      <c r="T31" s="18">
        <v>0.66800000000000004</v>
      </c>
      <c r="U31" s="18">
        <v>3.8253807106598897E-2</v>
      </c>
      <c r="V31" s="18">
        <v>5.5E-2</v>
      </c>
      <c r="W31" s="18">
        <v>0.14813324873096401</v>
      </c>
      <c r="X31" s="18">
        <v>0.17899999999999999</v>
      </c>
      <c r="Y31" s="18">
        <v>0.547579314720812</v>
      </c>
      <c r="Z31" s="18">
        <v>0.67800000000000005</v>
      </c>
      <c r="AA31" s="13">
        <v>7834995903.4168797</v>
      </c>
      <c r="AB31" s="13">
        <v>17484962119</v>
      </c>
      <c r="AC31" s="13">
        <v>6870207642.7557096</v>
      </c>
      <c r="AD31" s="13">
        <v>15313969056</v>
      </c>
      <c r="AE31" s="13">
        <f t="shared" si="0"/>
        <v>10368</v>
      </c>
      <c r="AF31" s="14">
        <f t="shared" si="1"/>
        <v>1</v>
      </c>
      <c r="AG31" s="14">
        <f t="shared" si="2"/>
        <v>790</v>
      </c>
      <c r="AH31" s="19">
        <f t="shared" si="3"/>
        <v>0.12642225031605561</v>
      </c>
      <c r="AI31" s="19">
        <f t="shared" si="4"/>
        <v>7.8349959034168792</v>
      </c>
      <c r="AJ31" s="19">
        <f t="shared" si="5"/>
        <v>17.484962118999999</v>
      </c>
      <c r="AK31" s="19">
        <f t="shared" si="6"/>
        <v>6.8702076427557097</v>
      </c>
      <c r="AL31" s="19">
        <f t="shared" si="7"/>
        <v>15.313969055999999</v>
      </c>
      <c r="AM31" s="20">
        <f>AI31/Assumptions!$B$13</f>
        <v>0.12436501433995047</v>
      </c>
      <c r="AN31" s="20">
        <f>AK31/Assumptions!$B$13</f>
        <v>0.10905091496437634</v>
      </c>
      <c r="AO31" s="19">
        <f t="shared" si="8"/>
        <v>6.0257254953913302</v>
      </c>
      <c r="AP31" s="17">
        <f>H31*Assumptions!$B$16/1000000000000</f>
        <v>182.03607637243141</v>
      </c>
      <c r="AQ31" s="14">
        <f>AP31/Assumptions!$B$9</f>
        <v>45.509019093107852</v>
      </c>
      <c r="AR31" s="20">
        <f>AQ31/Assumptions!$B$11</f>
        <v>4.5509019093107853E-2</v>
      </c>
      <c r="AS31" s="14">
        <f t="shared" si="9"/>
        <v>81.697734199625771</v>
      </c>
      <c r="AT31" s="14">
        <f>Assumptions!$B$21*O31/100</f>
        <v>37.989527008372917</v>
      </c>
      <c r="AU31" s="14">
        <f>Assumptions!$B$21*P31/100</f>
        <v>60.48991378971354</v>
      </c>
      <c r="AV31" s="18">
        <f>H31/(K31*Assumptions!$B$9)</f>
        <v>1.0668343357191583</v>
      </c>
      <c r="AW31" s="18">
        <f t="shared" si="10"/>
        <v>7.0842131609282294E-2</v>
      </c>
    </row>
    <row r="32" spans="1:49" x14ac:dyDescent="0.2">
      <c r="A32" s="16">
        <v>256</v>
      </c>
      <c r="B32" s="16">
        <v>128</v>
      </c>
      <c r="C32" s="16">
        <v>5</v>
      </c>
      <c r="D32" s="16">
        <v>100</v>
      </c>
      <c r="E32" s="16">
        <v>30</v>
      </c>
      <c r="F32" s="17">
        <v>97.009365601115903</v>
      </c>
      <c r="G32" s="14">
        <v>29.165697752839598</v>
      </c>
      <c r="H32" s="17">
        <v>531.17254121704195</v>
      </c>
      <c r="I32" s="14">
        <v>79.2</v>
      </c>
      <c r="J32" s="16">
        <v>99</v>
      </c>
      <c r="K32" s="14">
        <v>225.8</v>
      </c>
      <c r="L32" s="14">
        <v>288.5</v>
      </c>
      <c r="M32" s="13">
        <v>87187</v>
      </c>
      <c r="N32" s="13">
        <v>87187</v>
      </c>
      <c r="O32" s="14">
        <v>0.6</v>
      </c>
      <c r="P32" s="14">
        <v>1</v>
      </c>
      <c r="Q32" s="18">
        <v>0.79946428571428596</v>
      </c>
      <c r="R32" s="18">
        <v>0.99199999999999999</v>
      </c>
      <c r="S32" s="18">
        <v>0.34628571428571397</v>
      </c>
      <c r="T32" s="18">
        <v>0.49</v>
      </c>
      <c r="U32" s="18">
        <v>3.3160714285714203E-2</v>
      </c>
      <c r="V32" s="18">
        <v>4.8000000000000001E-2</v>
      </c>
      <c r="W32" s="18">
        <v>8.2517857142857101E-2</v>
      </c>
      <c r="X32" s="18">
        <v>0.115</v>
      </c>
      <c r="Y32" s="18">
        <v>0.32558928571428603</v>
      </c>
      <c r="Z32" s="18">
        <v>0.47499999999999998</v>
      </c>
      <c r="AA32" s="13">
        <v>7790780793</v>
      </c>
      <c r="AB32" s="13">
        <v>12230052638</v>
      </c>
      <c r="AC32" s="13">
        <v>6923952944.6428604</v>
      </c>
      <c r="AD32" s="13">
        <v>10861087170</v>
      </c>
      <c r="AE32" s="13">
        <f t="shared" si="0"/>
        <v>384</v>
      </c>
      <c r="AF32" s="14">
        <f t="shared" si="1"/>
        <v>20</v>
      </c>
      <c r="AG32" s="14">
        <f t="shared" si="2"/>
        <v>10</v>
      </c>
      <c r="AH32" s="19">
        <f t="shared" si="3"/>
        <v>3.3333333333333335</v>
      </c>
      <c r="AI32" s="19">
        <f t="shared" si="4"/>
        <v>7.7907807929999997</v>
      </c>
      <c r="AJ32" s="19">
        <f t="shared" si="5"/>
        <v>12.230052638</v>
      </c>
      <c r="AK32" s="19">
        <f t="shared" si="6"/>
        <v>6.9239529446428607</v>
      </c>
      <c r="AL32" s="19">
        <f t="shared" si="7"/>
        <v>10.861087169999999</v>
      </c>
      <c r="AM32" s="20">
        <f>AI32/Assumptions!$B$13</f>
        <v>0.12366318719047618</v>
      </c>
      <c r="AN32" s="20">
        <f>AK32/Assumptions!$B$13</f>
        <v>0.10990401499433113</v>
      </c>
      <c r="AO32" s="19">
        <f t="shared" si="8"/>
        <v>14.667137678369967</v>
      </c>
      <c r="AP32" s="17">
        <f>H32*Assumptions!$B$16/1000000000000</f>
        <v>74.364155770385878</v>
      </c>
      <c r="AQ32" s="14">
        <f>AP32/Assumptions!$B$9</f>
        <v>18.591038942596469</v>
      </c>
      <c r="AR32" s="20">
        <f>AQ32/Assumptions!$B$11</f>
        <v>1.859103894259647E-2</v>
      </c>
      <c r="AS32" s="14">
        <f t="shared" si="9"/>
        <v>15.492017791743979</v>
      </c>
      <c r="AT32" s="14">
        <f>Assumptions!$B$21*O32/100</f>
        <v>0.40917641796874998</v>
      </c>
      <c r="AU32" s="14">
        <f>Assumptions!$B$21*P32/100</f>
        <v>0.68196069661458325</v>
      </c>
      <c r="AV32" s="18">
        <f>H32/(K32*Assumptions!$B$9)</f>
        <v>0.58810068779566205</v>
      </c>
      <c r="AW32" s="18">
        <f t="shared" si="10"/>
        <v>9.5761138613861235E-2</v>
      </c>
    </row>
    <row r="33" spans="1:49" x14ac:dyDescent="0.2">
      <c r="A33" s="16">
        <v>256</v>
      </c>
      <c r="B33" s="16">
        <v>128</v>
      </c>
      <c r="C33" s="16">
        <v>10</v>
      </c>
      <c r="D33" s="16">
        <v>100</v>
      </c>
      <c r="E33" s="16">
        <v>21</v>
      </c>
      <c r="F33" s="17">
        <v>85.468408231390598</v>
      </c>
      <c r="G33" s="14">
        <v>33.598750063075997</v>
      </c>
      <c r="H33" s="17">
        <v>877.91256677412105</v>
      </c>
      <c r="I33" s="14">
        <v>72.099999999999994</v>
      </c>
      <c r="J33" s="16">
        <v>100</v>
      </c>
      <c r="K33" s="14">
        <v>202.6</v>
      </c>
      <c r="L33" s="14">
        <v>298.3</v>
      </c>
      <c r="M33" s="13">
        <v>87187</v>
      </c>
      <c r="N33" s="13">
        <v>87187</v>
      </c>
      <c r="O33" s="14">
        <v>0.95</v>
      </c>
      <c r="P33" s="14">
        <v>1.9</v>
      </c>
      <c r="Q33" s="18">
        <v>0.74372499999999997</v>
      </c>
      <c r="R33" s="18">
        <v>0.99299999999999999</v>
      </c>
      <c r="S33" s="18">
        <v>0.28975000000000001</v>
      </c>
      <c r="T33" s="18">
        <v>0.51100000000000001</v>
      </c>
      <c r="U33" s="18">
        <v>2.5124999999999901E-2</v>
      </c>
      <c r="V33" s="18">
        <v>0.05</v>
      </c>
      <c r="W33" s="18">
        <v>6.2549999999999994E-2</v>
      </c>
      <c r="X33" s="18">
        <v>9.0999999999999998E-2</v>
      </c>
      <c r="Y33" s="18">
        <v>0.281725</v>
      </c>
      <c r="Z33" s="18">
        <v>0.504</v>
      </c>
      <c r="AA33" s="13">
        <v>7554529762.4499998</v>
      </c>
      <c r="AB33" s="13">
        <v>13368046463</v>
      </c>
      <c r="AC33" s="13">
        <v>6732478474.1750002</v>
      </c>
      <c r="AD33" s="13">
        <v>12011576726</v>
      </c>
      <c r="AE33" s="13">
        <f t="shared" si="0"/>
        <v>384</v>
      </c>
      <c r="AF33" s="14">
        <f t="shared" si="1"/>
        <v>10</v>
      </c>
      <c r="AG33" s="14">
        <f t="shared" si="2"/>
        <v>11</v>
      </c>
      <c r="AH33" s="19">
        <f t="shared" si="3"/>
        <v>4.7619047619047619</v>
      </c>
      <c r="AI33" s="19">
        <f t="shared" si="4"/>
        <v>7.5545297624499996</v>
      </c>
      <c r="AJ33" s="19">
        <f t="shared" si="5"/>
        <v>13.368046463000001</v>
      </c>
      <c r="AK33" s="19">
        <f t="shared" si="6"/>
        <v>6.7324784741750001</v>
      </c>
      <c r="AL33" s="19">
        <f t="shared" si="7"/>
        <v>12.011576725999999</v>
      </c>
      <c r="AM33" s="20">
        <f>AI33/Assumptions!$B$13</f>
        <v>0.11991317083253968</v>
      </c>
      <c r="AN33" s="20">
        <f>AK33/Assumptions!$B$13</f>
        <v>0.10686473768531746</v>
      </c>
      <c r="AO33" s="19">
        <f t="shared" si="8"/>
        <v>8.6051049368264838</v>
      </c>
      <c r="AP33" s="17">
        <f>H33*Assumptions!$B$16/1000000000000</f>
        <v>122.90775934837696</v>
      </c>
      <c r="AQ33" s="14">
        <f>AP33/Assumptions!$B$9</f>
        <v>30.726939837094239</v>
      </c>
      <c r="AR33" s="20">
        <f>AQ33/Assumptions!$B$11</f>
        <v>3.0726939837094239E-2</v>
      </c>
      <c r="AS33" s="14">
        <f t="shared" si="9"/>
        <v>29.496764908277211</v>
      </c>
      <c r="AT33" s="14">
        <f>Assumptions!$B$21*O33/100</f>
        <v>0.64786266178385399</v>
      </c>
      <c r="AU33" s="14">
        <f>Assumptions!$B$21*P33/100</f>
        <v>1.295725323567708</v>
      </c>
      <c r="AV33" s="18">
        <f>H33/(K33*Assumptions!$B$9)</f>
        <v>1.0833077082602678</v>
      </c>
      <c r="AW33" s="18">
        <f t="shared" si="10"/>
        <v>8.6712683347713204E-2</v>
      </c>
    </row>
    <row r="34" spans="1:49" x14ac:dyDescent="0.2">
      <c r="A34" s="16">
        <v>256</v>
      </c>
      <c r="B34" s="16">
        <v>128</v>
      </c>
      <c r="C34" s="16">
        <v>20</v>
      </c>
      <c r="D34" s="16">
        <v>100</v>
      </c>
      <c r="E34" s="16">
        <v>16</v>
      </c>
      <c r="F34" s="17">
        <v>93.769618130754694</v>
      </c>
      <c r="G34" s="14">
        <v>36.691842758021899</v>
      </c>
      <c r="H34" s="17">
        <v>1259.95956054457</v>
      </c>
      <c r="I34" s="14">
        <v>61.9</v>
      </c>
      <c r="J34" s="16">
        <v>100</v>
      </c>
      <c r="K34" s="14">
        <v>191.7</v>
      </c>
      <c r="L34" s="14">
        <v>309.2</v>
      </c>
      <c r="M34" s="13">
        <v>87187</v>
      </c>
      <c r="N34" s="13">
        <v>87187</v>
      </c>
      <c r="O34" s="14">
        <v>1.5</v>
      </c>
      <c r="P34" s="14">
        <v>3</v>
      </c>
      <c r="Q34" s="18">
        <v>0.65225</v>
      </c>
      <c r="R34" s="18">
        <v>0.995</v>
      </c>
      <c r="S34" s="18">
        <v>0.221714285714286</v>
      </c>
      <c r="T34" s="18">
        <v>0.38500000000000001</v>
      </c>
      <c r="U34" s="18">
        <v>1.77857142857142E-2</v>
      </c>
      <c r="V34" s="18">
        <v>3.3000000000000002E-2</v>
      </c>
      <c r="W34" s="18">
        <v>7.0142857142857104E-2</v>
      </c>
      <c r="X34" s="18">
        <v>0.156</v>
      </c>
      <c r="Y34" s="18">
        <v>0.20521428571428599</v>
      </c>
      <c r="Z34" s="18">
        <v>0.38800000000000001</v>
      </c>
      <c r="AA34" s="13">
        <v>7074047366.3928604</v>
      </c>
      <c r="AB34" s="13">
        <v>13137364620</v>
      </c>
      <c r="AC34" s="13">
        <v>6247429474.25</v>
      </c>
      <c r="AD34" s="13">
        <v>11764577426</v>
      </c>
      <c r="AE34" s="13">
        <f t="shared" ref="AE34:AE65" si="11">A34+B34</f>
        <v>384</v>
      </c>
      <c r="AF34" s="14">
        <f t="shared" ref="AF34:AF65" si="12">D34/C34</f>
        <v>5</v>
      </c>
      <c r="AG34" s="14">
        <f t="shared" ref="AG34:AG65" si="13">E34-AF34</f>
        <v>11</v>
      </c>
      <c r="AH34" s="19">
        <f t="shared" ref="AH34:AH65" si="14">D34/E34</f>
        <v>6.25</v>
      </c>
      <c r="AI34" s="19">
        <f t="shared" ref="AI34:AI65" si="15">AA34/1000000000</f>
        <v>7.0740473663928602</v>
      </c>
      <c r="AJ34" s="19">
        <f t="shared" ref="AJ34:AJ65" si="16">AB34/1000000000</f>
        <v>13.13736462</v>
      </c>
      <c r="AK34" s="19">
        <f t="shared" ref="AK34:AK65" si="17">AC34/1000000000</f>
        <v>6.2474294742499996</v>
      </c>
      <c r="AL34" s="19">
        <f t="shared" ref="AL34:AL65" si="18">AD34/1000000000</f>
        <v>11.764577426000001</v>
      </c>
      <c r="AM34" s="20">
        <f>AI34/Assumptions!$B$13</f>
        <v>0.11228646613322001</v>
      </c>
      <c r="AN34" s="20">
        <f>AK34/Assumptions!$B$13</f>
        <v>9.9165547210317451E-2</v>
      </c>
      <c r="AO34" s="19">
        <f t="shared" ref="AO34:AO65" si="19">AA34/H34/1000000</f>
        <v>5.6145035030611377</v>
      </c>
      <c r="AP34" s="17">
        <f>H34*Assumptions!$B$16/1000000000000</f>
        <v>176.3943384762398</v>
      </c>
      <c r="AQ34" s="14">
        <f>AP34/Assumptions!$B$9</f>
        <v>44.098584619059949</v>
      </c>
      <c r="AR34" s="20">
        <f>AQ34/Assumptions!$B$11</f>
        <v>4.4098584619059952E-2</v>
      </c>
      <c r="AS34" s="14">
        <f t="shared" ref="AS34:AS65" si="20">H34*G34/1000</f>
        <v>46.23023807696773</v>
      </c>
      <c r="AT34" s="14">
        <f>Assumptions!$B$21*O34/100</f>
        <v>1.0229410449218748</v>
      </c>
      <c r="AU34" s="14">
        <f>Assumptions!$B$21*P34/100</f>
        <v>2.0458820898437495</v>
      </c>
      <c r="AV34" s="18">
        <f>H34/(K34*Assumptions!$B$9)</f>
        <v>1.6431397503189489</v>
      </c>
      <c r="AW34" s="18">
        <f t="shared" ref="AW34:AW65" si="21">U34/S34</f>
        <v>8.021907216494796E-2</v>
      </c>
    </row>
    <row r="35" spans="1:49" x14ac:dyDescent="0.2">
      <c r="A35" s="16">
        <v>256</v>
      </c>
      <c r="B35" s="16">
        <v>128</v>
      </c>
      <c r="C35" s="16">
        <v>50</v>
      </c>
      <c r="D35" s="16">
        <v>100</v>
      </c>
      <c r="E35" s="16">
        <v>14</v>
      </c>
      <c r="F35" s="17">
        <v>97.494550139526794</v>
      </c>
      <c r="G35" s="14">
        <v>39.674412740989801</v>
      </c>
      <c r="H35" s="17">
        <v>1632.1398697858499</v>
      </c>
      <c r="I35" s="14">
        <v>56.9</v>
      </c>
      <c r="J35" s="16">
        <v>100</v>
      </c>
      <c r="K35" s="14">
        <v>175</v>
      </c>
      <c r="L35" s="14">
        <v>300.10000000000002</v>
      </c>
      <c r="M35" s="13">
        <v>87187</v>
      </c>
      <c r="N35" s="13">
        <v>87187</v>
      </c>
      <c r="O35" s="14">
        <v>3.7</v>
      </c>
      <c r="P35" s="14">
        <v>3.7</v>
      </c>
      <c r="Q35" s="18">
        <v>0.57454166666666695</v>
      </c>
      <c r="R35" s="18">
        <v>0.995</v>
      </c>
      <c r="S35" s="18">
        <v>0.17679166666666701</v>
      </c>
      <c r="T35" s="18">
        <v>0.35299999999999998</v>
      </c>
      <c r="U35" s="18">
        <v>1.46666666666666E-2</v>
      </c>
      <c r="V35" s="18">
        <v>2.9000000000000001E-2</v>
      </c>
      <c r="W35" s="18">
        <v>7.0833333333333304E-2</v>
      </c>
      <c r="X35" s="18">
        <v>0.14899999999999999</v>
      </c>
      <c r="Y35" s="18">
        <v>0.176458333333333</v>
      </c>
      <c r="Z35" s="18">
        <v>0.34399999999999997</v>
      </c>
      <c r="AA35" s="13">
        <v>6526472448.5416698</v>
      </c>
      <c r="AB35" s="13">
        <v>13116103982</v>
      </c>
      <c r="AC35" s="13">
        <v>5734460552.9583302</v>
      </c>
      <c r="AD35" s="13">
        <v>11481898673</v>
      </c>
      <c r="AE35" s="13">
        <f t="shared" si="11"/>
        <v>384</v>
      </c>
      <c r="AF35" s="14">
        <f t="shared" si="12"/>
        <v>2</v>
      </c>
      <c r="AG35" s="14">
        <f t="shared" si="13"/>
        <v>12</v>
      </c>
      <c r="AH35" s="19">
        <f t="shared" si="14"/>
        <v>7.1428571428571432</v>
      </c>
      <c r="AI35" s="19">
        <f t="shared" si="15"/>
        <v>6.5264724485416696</v>
      </c>
      <c r="AJ35" s="19">
        <f t="shared" si="16"/>
        <v>13.116103982</v>
      </c>
      <c r="AK35" s="19">
        <f t="shared" si="17"/>
        <v>5.7344605529583301</v>
      </c>
      <c r="AL35" s="19">
        <f t="shared" si="18"/>
        <v>11.481898673</v>
      </c>
      <c r="AM35" s="20">
        <f>AI35/Assumptions!$B$13</f>
        <v>0.10359480077050269</v>
      </c>
      <c r="AN35" s="20">
        <f>AK35/Assumptions!$B$13</f>
        <v>9.1023183380290959E-2</v>
      </c>
      <c r="AO35" s="19">
        <f t="shared" si="19"/>
        <v>3.9987212918204103</v>
      </c>
      <c r="AP35" s="17">
        <f>H35*Assumptions!$B$16/1000000000000</f>
        <v>228.49958177001901</v>
      </c>
      <c r="AQ35" s="14">
        <f>AP35/Assumptions!$B$9</f>
        <v>57.124895442504751</v>
      </c>
      <c r="AR35" s="20">
        <f>AQ35/Assumptions!$B$11</f>
        <v>5.712489544250475E-2</v>
      </c>
      <c r="AS35" s="14">
        <f t="shared" si="20"/>
        <v>64.754190844909161</v>
      </c>
      <c r="AT35" s="14">
        <f>Assumptions!$B$21*O35/100</f>
        <v>2.5232545774739581</v>
      </c>
      <c r="AU35" s="14">
        <f>Assumptions!$B$21*P35/100</f>
        <v>2.5232545774739581</v>
      </c>
      <c r="AV35" s="18">
        <f>H35/(K35*Assumptions!$B$9)</f>
        <v>2.331628385408357</v>
      </c>
      <c r="AW35" s="18">
        <f t="shared" si="21"/>
        <v>8.296016969125565E-2</v>
      </c>
    </row>
    <row r="36" spans="1:49" x14ac:dyDescent="0.2">
      <c r="A36" s="16">
        <v>256</v>
      </c>
      <c r="B36" s="16">
        <v>128</v>
      </c>
      <c r="C36" s="16">
        <v>100</v>
      </c>
      <c r="D36" s="16">
        <v>100</v>
      </c>
      <c r="E36" s="16">
        <v>13</v>
      </c>
      <c r="F36" s="17">
        <v>101.70302282786</v>
      </c>
      <c r="G36" s="14">
        <v>40.3866321944462</v>
      </c>
      <c r="H36" s="17">
        <v>1806.8563188962</v>
      </c>
      <c r="I36" s="14">
        <v>56.7</v>
      </c>
      <c r="J36" s="16">
        <v>100</v>
      </c>
      <c r="K36" s="14">
        <v>169.2</v>
      </c>
      <c r="L36" s="14">
        <v>282.60000000000002</v>
      </c>
      <c r="M36" s="13">
        <v>87187</v>
      </c>
      <c r="N36" s="13">
        <v>87187</v>
      </c>
      <c r="O36" s="14">
        <v>2.1</v>
      </c>
      <c r="P36" s="14">
        <v>4.2</v>
      </c>
      <c r="Q36" s="18">
        <v>0.57583333333333298</v>
      </c>
      <c r="R36" s="18">
        <v>0.995</v>
      </c>
      <c r="S36" s="18">
        <v>0.17095833333333299</v>
      </c>
      <c r="T36" s="18">
        <v>0.36799999999999999</v>
      </c>
      <c r="U36" s="18">
        <v>1.44166666666666E-2</v>
      </c>
      <c r="V36" s="18">
        <v>3.1E-2</v>
      </c>
      <c r="W36" s="18">
        <v>6.8791666666666598E-2</v>
      </c>
      <c r="X36" s="18">
        <v>0.14799999999999999</v>
      </c>
      <c r="Y36" s="18">
        <v>0.17554166666666701</v>
      </c>
      <c r="Z36" s="18">
        <v>0.36199999999999999</v>
      </c>
      <c r="AA36" s="13">
        <v>6689619138.7916698</v>
      </c>
      <c r="AB36" s="13">
        <v>13107160015</v>
      </c>
      <c r="AC36" s="13">
        <v>5873104420</v>
      </c>
      <c r="AD36" s="13">
        <v>11474309675</v>
      </c>
      <c r="AE36" s="13">
        <f t="shared" si="11"/>
        <v>384</v>
      </c>
      <c r="AF36" s="14">
        <f t="shared" si="12"/>
        <v>1</v>
      </c>
      <c r="AG36" s="14">
        <f t="shared" si="13"/>
        <v>12</v>
      </c>
      <c r="AH36" s="19">
        <f t="shared" si="14"/>
        <v>7.6923076923076925</v>
      </c>
      <c r="AI36" s="19">
        <f t="shared" si="15"/>
        <v>6.6896191387916701</v>
      </c>
      <c r="AJ36" s="19">
        <f t="shared" si="16"/>
        <v>13.107160015</v>
      </c>
      <c r="AK36" s="19">
        <f t="shared" si="17"/>
        <v>5.8731044199999998</v>
      </c>
      <c r="AL36" s="19">
        <f t="shared" si="18"/>
        <v>11.474309675000001</v>
      </c>
      <c r="AM36" s="20">
        <f>AI36/Assumptions!$B$13</f>
        <v>0.10618443077447096</v>
      </c>
      <c r="AN36" s="20">
        <f>AK36/Assumptions!$B$13</f>
        <v>9.3223879682539673E-2</v>
      </c>
      <c r="AO36" s="19">
        <f t="shared" si="19"/>
        <v>3.7023525716080878</v>
      </c>
      <c r="AP36" s="17">
        <f>H36*Assumptions!$B$16/1000000000000</f>
        <v>252.95988464546801</v>
      </c>
      <c r="AQ36" s="14">
        <f>AP36/Assumptions!$B$9</f>
        <v>63.239971161367002</v>
      </c>
      <c r="AR36" s="20">
        <f>AQ36/Assumptions!$B$11</f>
        <v>6.3239971161367009E-2</v>
      </c>
      <c r="AS36" s="14">
        <f t="shared" si="20"/>
        <v>72.972841579471819</v>
      </c>
      <c r="AT36" s="14">
        <f>Assumptions!$B$21*O36/100</f>
        <v>1.4321174628906248</v>
      </c>
      <c r="AU36" s="14">
        <f>Assumptions!$B$21*P36/100</f>
        <v>2.8642349257812496</v>
      </c>
      <c r="AV36" s="18">
        <f>H36/(K36*Assumptions!$B$9)</f>
        <v>2.6697049629080971</v>
      </c>
      <c r="AW36" s="18">
        <f t="shared" si="21"/>
        <v>8.4328540092614937E-2</v>
      </c>
    </row>
    <row r="37" spans="1:49" x14ac:dyDescent="0.2">
      <c r="A37" s="16">
        <v>256</v>
      </c>
      <c r="B37" s="16">
        <v>512</v>
      </c>
      <c r="C37" s="16">
        <v>5</v>
      </c>
      <c r="D37" s="16">
        <v>100</v>
      </c>
      <c r="E37" s="16">
        <v>47</v>
      </c>
      <c r="F37" s="17">
        <v>93.151610098429998</v>
      </c>
      <c r="G37" s="14">
        <v>36.527599760589702</v>
      </c>
      <c r="H37" s="17">
        <v>1257.8484011359101</v>
      </c>
      <c r="I37" s="14">
        <v>86.6</v>
      </c>
      <c r="J37" s="16">
        <v>100</v>
      </c>
      <c r="K37" s="14">
        <v>243.5</v>
      </c>
      <c r="L37" s="14">
        <v>317.60000000000002</v>
      </c>
      <c r="M37" s="13">
        <v>87187</v>
      </c>
      <c r="N37" s="13">
        <v>87187</v>
      </c>
      <c r="O37" s="14">
        <v>2.34</v>
      </c>
      <c r="P37" s="14">
        <v>4.3</v>
      </c>
      <c r="Q37" s="18">
        <v>0.88305434782608705</v>
      </c>
      <c r="R37" s="18">
        <v>0.996</v>
      </c>
      <c r="S37" s="18">
        <v>0.34899999999999998</v>
      </c>
      <c r="T37" s="18">
        <v>0.54300000000000004</v>
      </c>
      <c r="U37" s="18">
        <v>2.9695652173913002E-2</v>
      </c>
      <c r="V37" s="18">
        <v>5.3999999999999999E-2</v>
      </c>
      <c r="W37" s="18">
        <v>9.4880434782608603E-2</v>
      </c>
      <c r="X37" s="18">
        <v>0.16900000000000001</v>
      </c>
      <c r="Y37" s="18">
        <v>0.33961956521739101</v>
      </c>
      <c r="Z37" s="18">
        <v>0.54500000000000004</v>
      </c>
      <c r="AA37" s="13">
        <v>9061871806.0326099</v>
      </c>
      <c r="AB37" s="13">
        <v>14334071144</v>
      </c>
      <c r="AC37" s="13">
        <v>8025096790.3260899</v>
      </c>
      <c r="AD37" s="13">
        <v>12868608786</v>
      </c>
      <c r="AE37" s="13">
        <f t="shared" si="11"/>
        <v>768</v>
      </c>
      <c r="AF37" s="14">
        <f t="shared" si="12"/>
        <v>20</v>
      </c>
      <c r="AG37" s="14">
        <f t="shared" si="13"/>
        <v>27</v>
      </c>
      <c r="AH37" s="19">
        <f t="shared" si="14"/>
        <v>2.1276595744680851</v>
      </c>
      <c r="AI37" s="19">
        <f t="shared" si="15"/>
        <v>9.0618718060326096</v>
      </c>
      <c r="AJ37" s="19">
        <f t="shared" si="16"/>
        <v>14.334071143999999</v>
      </c>
      <c r="AK37" s="19">
        <f t="shared" si="17"/>
        <v>8.0250967903260904</v>
      </c>
      <c r="AL37" s="19">
        <f t="shared" si="18"/>
        <v>12.868608785999999</v>
      </c>
      <c r="AM37" s="20">
        <f>AI37/Assumptions!$B$13</f>
        <v>0.14383923501639062</v>
      </c>
      <c r="AN37" s="20">
        <f>AK37/Assumptions!$B$13</f>
        <v>0.12738248873533478</v>
      </c>
      <c r="AO37" s="19">
        <f t="shared" si="19"/>
        <v>7.2042638825546979</v>
      </c>
      <c r="AP37" s="17">
        <f>H37*Assumptions!$B$16/1000000000000</f>
        <v>176.09877615902741</v>
      </c>
      <c r="AQ37" s="14">
        <f>AP37/Assumptions!$B$9</f>
        <v>44.024694039756852</v>
      </c>
      <c r="AR37" s="20">
        <f>AQ37/Assumptions!$B$11</f>
        <v>4.4024694039756854E-2</v>
      </c>
      <c r="AS37" s="14">
        <f t="shared" si="20"/>
        <v>45.946182956190206</v>
      </c>
      <c r="AT37" s="14">
        <f>Assumptions!$B$21*O37/100</f>
        <v>1.5957880300781246</v>
      </c>
      <c r="AU37" s="14">
        <f>Assumptions!$B$21*P37/100</f>
        <v>2.9324309954427075</v>
      </c>
      <c r="AV37" s="18">
        <f>H37/(K37*Assumptions!$B$9)</f>
        <v>1.2914254631785524</v>
      </c>
      <c r="AW37" s="18">
        <f t="shared" si="21"/>
        <v>8.5087828578547284E-2</v>
      </c>
    </row>
    <row r="38" spans="1:49" x14ac:dyDescent="0.2">
      <c r="A38" s="16">
        <v>256</v>
      </c>
      <c r="B38" s="16">
        <v>512</v>
      </c>
      <c r="C38" s="16">
        <v>10</v>
      </c>
      <c r="D38" s="16">
        <v>100</v>
      </c>
      <c r="E38" s="16">
        <v>39</v>
      </c>
      <c r="F38" s="17">
        <v>94.051390337408506</v>
      </c>
      <c r="G38" s="14">
        <v>39.4380468560284</v>
      </c>
      <c r="H38" s="17">
        <v>1550.5525178175601</v>
      </c>
      <c r="I38" s="14">
        <v>84.5</v>
      </c>
      <c r="J38" s="16">
        <v>100</v>
      </c>
      <c r="K38" s="14">
        <v>242.2</v>
      </c>
      <c r="L38" s="14">
        <v>314.10000000000002</v>
      </c>
      <c r="M38" s="13">
        <v>87187</v>
      </c>
      <c r="N38" s="13">
        <v>87187</v>
      </c>
      <c r="O38" s="14">
        <v>3.25</v>
      </c>
      <c r="P38" s="14">
        <v>5.9</v>
      </c>
      <c r="Q38" s="18">
        <v>0.85484210526315796</v>
      </c>
      <c r="R38" s="18">
        <v>0.996</v>
      </c>
      <c r="S38" s="18">
        <v>0.31968421052631601</v>
      </c>
      <c r="T38" s="18">
        <v>0.54700000000000004</v>
      </c>
      <c r="U38" s="18">
        <v>2.5855263157894701E-2</v>
      </c>
      <c r="V38" s="18">
        <v>5.3999999999999999E-2</v>
      </c>
      <c r="W38" s="18">
        <v>9.9934210526315695E-2</v>
      </c>
      <c r="X38" s="18">
        <v>0.16800000000000001</v>
      </c>
      <c r="Y38" s="18">
        <v>0.30390789473684199</v>
      </c>
      <c r="Z38" s="18">
        <v>0.54600000000000004</v>
      </c>
      <c r="AA38" s="13">
        <v>9425459627.2236805</v>
      </c>
      <c r="AB38" s="13">
        <v>13878358107</v>
      </c>
      <c r="AC38" s="13">
        <v>8317055936.6710501</v>
      </c>
      <c r="AD38" s="13">
        <v>12423220537</v>
      </c>
      <c r="AE38" s="13">
        <f t="shared" si="11"/>
        <v>768</v>
      </c>
      <c r="AF38" s="14">
        <f t="shared" si="12"/>
        <v>10</v>
      </c>
      <c r="AG38" s="14">
        <f t="shared" si="13"/>
        <v>29</v>
      </c>
      <c r="AH38" s="19">
        <f t="shared" si="14"/>
        <v>2.5641025641025643</v>
      </c>
      <c r="AI38" s="19">
        <f t="shared" si="15"/>
        <v>9.425459627223681</v>
      </c>
      <c r="AJ38" s="19">
        <f t="shared" si="16"/>
        <v>13.878358107</v>
      </c>
      <c r="AK38" s="19">
        <f t="shared" si="17"/>
        <v>8.3170559366710499</v>
      </c>
      <c r="AL38" s="19">
        <f t="shared" si="18"/>
        <v>12.423220537000001</v>
      </c>
      <c r="AM38" s="20">
        <f>AI38/Assumptions!$B$13</f>
        <v>0.14961047027339175</v>
      </c>
      <c r="AN38" s="20">
        <f>AK38/Assumptions!$B$13</f>
        <v>0.13201676089954048</v>
      </c>
      <c r="AO38" s="19">
        <f t="shared" si="19"/>
        <v>6.0787748360115152</v>
      </c>
      <c r="AP38" s="17">
        <f>H38*Assumptions!$B$16/1000000000000</f>
        <v>217.07735249445841</v>
      </c>
      <c r="AQ38" s="14">
        <f>AP38/Assumptions!$B$9</f>
        <v>54.269338123614602</v>
      </c>
      <c r="AR38" s="20">
        <f>AQ38/Assumptions!$B$11</f>
        <v>5.4269338123614605E-2</v>
      </c>
      <c r="AS38" s="14">
        <f t="shared" si="20"/>
        <v>61.150762850421742</v>
      </c>
      <c r="AT38" s="14">
        <f>Assumptions!$B$21*O38/100</f>
        <v>2.2163722639973953</v>
      </c>
      <c r="AU38" s="14">
        <f>Assumptions!$B$21*P38/100</f>
        <v>4.0235681100260416</v>
      </c>
      <c r="AV38" s="18">
        <f>H38/(K38*Assumptions!$B$9)</f>
        <v>1.6004877351543767</v>
      </c>
      <c r="AW38" s="18">
        <f t="shared" si="21"/>
        <v>8.0877510701349853E-2</v>
      </c>
    </row>
    <row r="39" spans="1:49" x14ac:dyDescent="0.2">
      <c r="A39" s="16">
        <v>256</v>
      </c>
      <c r="B39" s="16">
        <v>512</v>
      </c>
      <c r="C39" s="16">
        <v>20</v>
      </c>
      <c r="D39" s="16">
        <v>100</v>
      </c>
      <c r="E39" s="16">
        <v>35</v>
      </c>
      <c r="F39" s="17">
        <v>93.840176658704905</v>
      </c>
      <c r="G39" s="14">
        <v>40.620030168131898</v>
      </c>
      <c r="H39" s="17">
        <v>1752.9094896527299</v>
      </c>
      <c r="I39" s="14">
        <v>83</v>
      </c>
      <c r="J39" s="16">
        <v>100</v>
      </c>
      <c r="K39" s="14">
        <v>240.3</v>
      </c>
      <c r="L39" s="14">
        <v>318.60000000000002</v>
      </c>
      <c r="M39" s="13">
        <v>87187</v>
      </c>
      <c r="N39" s="13">
        <v>87187</v>
      </c>
      <c r="O39" s="14">
        <v>4.0999999999999996</v>
      </c>
      <c r="P39" s="14">
        <v>7</v>
      </c>
      <c r="Q39" s="18">
        <v>0.84676470588235297</v>
      </c>
      <c r="R39" s="18">
        <v>0.996</v>
      </c>
      <c r="S39" s="18">
        <v>0.29845588235294102</v>
      </c>
      <c r="T39" s="18">
        <v>0.52200000000000002</v>
      </c>
      <c r="U39" s="18">
        <v>2.5235294117647002E-2</v>
      </c>
      <c r="V39" s="18">
        <v>0.05</v>
      </c>
      <c r="W39" s="18">
        <v>0.104323529411765</v>
      </c>
      <c r="X39" s="18">
        <v>0.155</v>
      </c>
      <c r="Y39" s="18">
        <v>0.29989705882352902</v>
      </c>
      <c r="Z39" s="18">
        <v>0.53500000000000003</v>
      </c>
      <c r="AA39" s="13">
        <v>9634023644.7941208</v>
      </c>
      <c r="AB39" s="13">
        <v>12995508198</v>
      </c>
      <c r="AC39" s="13">
        <v>8476123453.9117699</v>
      </c>
      <c r="AD39" s="13">
        <v>11377230799</v>
      </c>
      <c r="AE39" s="13">
        <f t="shared" si="11"/>
        <v>768</v>
      </c>
      <c r="AF39" s="14">
        <f t="shared" si="12"/>
        <v>5</v>
      </c>
      <c r="AG39" s="14">
        <f t="shared" si="13"/>
        <v>30</v>
      </c>
      <c r="AH39" s="19">
        <f t="shared" si="14"/>
        <v>2.8571428571428572</v>
      </c>
      <c r="AI39" s="19">
        <f t="shared" si="15"/>
        <v>9.6340236447941212</v>
      </c>
      <c r="AJ39" s="19">
        <f t="shared" si="16"/>
        <v>12.995508198</v>
      </c>
      <c r="AK39" s="19">
        <f t="shared" si="17"/>
        <v>8.4761234539117698</v>
      </c>
      <c r="AL39" s="19">
        <f t="shared" si="18"/>
        <v>11.377230798999999</v>
      </c>
      <c r="AM39" s="20">
        <f>AI39/Assumptions!$B$13</f>
        <v>0.15292101023482732</v>
      </c>
      <c r="AN39" s="20">
        <f>AK39/Assumptions!$B$13</f>
        <v>0.13454164212558364</v>
      </c>
      <c r="AO39" s="19">
        <f t="shared" si="19"/>
        <v>5.4960188769944551</v>
      </c>
      <c r="AP39" s="17">
        <f>H39*Assumptions!$B$16/1000000000000</f>
        <v>245.40732855138219</v>
      </c>
      <c r="AQ39" s="14">
        <f>AP39/Assumptions!$B$9</f>
        <v>61.351832137845548</v>
      </c>
      <c r="AR39" s="20">
        <f>AQ39/Assumptions!$B$11</f>
        <v>6.1351832137845549E-2</v>
      </c>
      <c r="AS39" s="14">
        <f t="shared" si="20"/>
        <v>71.203236351698578</v>
      </c>
      <c r="AT39" s="14">
        <f>Assumptions!$B$21*O39/100</f>
        <v>2.7960388561197909</v>
      </c>
      <c r="AU39" s="14">
        <f>Assumptions!$B$21*P39/100</f>
        <v>4.773724876302083</v>
      </c>
      <c r="AV39" s="18">
        <f>H39/(K39*Assumptions!$B$9)</f>
        <v>1.8236678003045463</v>
      </c>
      <c r="AW39" s="18">
        <f t="shared" si="21"/>
        <v>8.4552845528455142E-2</v>
      </c>
    </row>
    <row r="40" spans="1:49" x14ac:dyDescent="0.2">
      <c r="A40" s="16">
        <v>256</v>
      </c>
      <c r="B40" s="16">
        <v>512</v>
      </c>
      <c r="C40" s="16">
        <v>50</v>
      </c>
      <c r="D40" s="16">
        <v>100</v>
      </c>
      <c r="E40" s="16">
        <v>33</v>
      </c>
      <c r="F40" s="17">
        <v>97.914742577704601</v>
      </c>
      <c r="G40" s="14">
        <v>41.225093468404097</v>
      </c>
      <c r="H40" s="17">
        <v>1889.8137050974599</v>
      </c>
      <c r="I40" s="14">
        <v>81.900000000000006</v>
      </c>
      <c r="J40" s="16">
        <v>100</v>
      </c>
      <c r="K40" s="14">
        <v>237.1</v>
      </c>
      <c r="L40" s="14">
        <v>309</v>
      </c>
      <c r="M40" s="13">
        <v>87187</v>
      </c>
      <c r="N40" s="13">
        <v>87187</v>
      </c>
      <c r="O40" s="14">
        <v>6.05</v>
      </c>
      <c r="P40" s="14">
        <v>6.5</v>
      </c>
      <c r="Q40" s="18">
        <v>0.84184375</v>
      </c>
      <c r="R40" s="18">
        <v>0.996</v>
      </c>
      <c r="S40" s="18">
        <v>0.28384375000000001</v>
      </c>
      <c r="T40" s="18">
        <v>0.50700000000000001</v>
      </c>
      <c r="U40" s="18">
        <v>2.4079365079364999E-2</v>
      </c>
      <c r="V40" s="18">
        <v>4.7E-2</v>
      </c>
      <c r="W40" s="18">
        <v>0.106857142857143</v>
      </c>
      <c r="X40" s="18">
        <v>0.158</v>
      </c>
      <c r="Y40" s="18">
        <v>0.29843548387096802</v>
      </c>
      <c r="Z40" s="18">
        <v>0.496</v>
      </c>
      <c r="AA40" s="13">
        <v>9873046130.6718807</v>
      </c>
      <c r="AB40" s="13">
        <v>13110801837</v>
      </c>
      <c r="AC40" s="13">
        <v>8677915507.2968807</v>
      </c>
      <c r="AD40" s="13">
        <v>11478055505</v>
      </c>
      <c r="AE40" s="13">
        <f t="shared" si="11"/>
        <v>768</v>
      </c>
      <c r="AF40" s="14">
        <f t="shared" si="12"/>
        <v>2</v>
      </c>
      <c r="AG40" s="14">
        <f t="shared" si="13"/>
        <v>31</v>
      </c>
      <c r="AH40" s="19">
        <f t="shared" si="14"/>
        <v>3.0303030303030303</v>
      </c>
      <c r="AI40" s="19">
        <f t="shared" si="15"/>
        <v>9.8730461306718809</v>
      </c>
      <c r="AJ40" s="19">
        <f t="shared" si="16"/>
        <v>13.110801837</v>
      </c>
      <c r="AK40" s="19">
        <f t="shared" si="17"/>
        <v>8.6779155072968805</v>
      </c>
      <c r="AL40" s="19">
        <f t="shared" si="18"/>
        <v>11.478055505</v>
      </c>
      <c r="AM40" s="20">
        <f>AI40/Assumptions!$B$13</f>
        <v>0.15671501794717271</v>
      </c>
      <c r="AN40" s="20">
        <f>AK40/Assumptions!$B$13</f>
        <v>0.13774469059201397</v>
      </c>
      <c r="AO40" s="19">
        <f t="shared" si="19"/>
        <v>5.2243488890153413</v>
      </c>
      <c r="AP40" s="17">
        <f>H40*Assumptions!$B$16/1000000000000</f>
        <v>264.57391871364439</v>
      </c>
      <c r="AQ40" s="14">
        <f>AP40/Assumptions!$B$9</f>
        <v>66.143479678411097</v>
      </c>
      <c r="AR40" s="20">
        <f>AQ40/Assumptions!$B$11</f>
        <v>6.6143479678411096E-2</v>
      </c>
      <c r="AS40" s="14">
        <f t="shared" si="20"/>
        <v>77.907746630513842</v>
      </c>
      <c r="AT40" s="14">
        <f>Assumptions!$B$21*O40/100</f>
        <v>4.1258622145182287</v>
      </c>
      <c r="AU40" s="14">
        <f>Assumptions!$B$21*P40/100</f>
        <v>4.4327445279947906</v>
      </c>
      <c r="AV40" s="18">
        <f>H40/(K40*Assumptions!$B$9)</f>
        <v>1.9926335987952972</v>
      </c>
      <c r="AW40" s="18">
        <f t="shared" si="21"/>
        <v>8.4833169937210171E-2</v>
      </c>
    </row>
    <row r="41" spans="1:49" x14ac:dyDescent="0.2">
      <c r="A41" s="16">
        <v>256</v>
      </c>
      <c r="B41" s="16">
        <v>512</v>
      </c>
      <c r="C41" s="16">
        <v>100</v>
      </c>
      <c r="D41" s="16">
        <v>100</v>
      </c>
      <c r="E41" s="16">
        <v>32</v>
      </c>
      <c r="F41" s="17">
        <v>102.13817328156399</v>
      </c>
      <c r="G41" s="14">
        <v>41.363330437310701</v>
      </c>
      <c r="H41" s="17">
        <v>1937.96324750598</v>
      </c>
      <c r="I41" s="14">
        <v>81</v>
      </c>
      <c r="J41" s="16">
        <v>100</v>
      </c>
      <c r="K41" s="14">
        <v>233.1</v>
      </c>
      <c r="L41" s="14">
        <v>304.7</v>
      </c>
      <c r="M41" s="13">
        <v>87187</v>
      </c>
      <c r="N41" s="13">
        <v>87187</v>
      </c>
      <c r="O41" s="14">
        <v>4.8666666666666698</v>
      </c>
      <c r="P41" s="14">
        <v>6.3</v>
      </c>
      <c r="Q41" s="18">
        <v>0.82768333333333299</v>
      </c>
      <c r="R41" s="18">
        <v>1</v>
      </c>
      <c r="S41" s="18">
        <v>0.26628333333333298</v>
      </c>
      <c r="T41" s="18">
        <v>0.41199999999999998</v>
      </c>
      <c r="U41" s="18">
        <v>2.18666666666666E-2</v>
      </c>
      <c r="V41" s="18">
        <v>3.5000000000000003E-2</v>
      </c>
      <c r="W41" s="18">
        <v>0.10525</v>
      </c>
      <c r="X41" s="18">
        <v>0.16</v>
      </c>
      <c r="Y41" s="18">
        <v>0.271633333333333</v>
      </c>
      <c r="Z41" s="18">
        <v>0.39700000000000002</v>
      </c>
      <c r="AA41" s="13">
        <v>10192406367.266701</v>
      </c>
      <c r="AB41" s="13">
        <v>13599605470</v>
      </c>
      <c r="AC41" s="13">
        <v>8944231742.7666702</v>
      </c>
      <c r="AD41" s="13">
        <v>11912615045</v>
      </c>
      <c r="AE41" s="13">
        <f t="shared" si="11"/>
        <v>768</v>
      </c>
      <c r="AF41" s="14">
        <f t="shared" si="12"/>
        <v>1</v>
      </c>
      <c r="AG41" s="14">
        <f t="shared" si="13"/>
        <v>31</v>
      </c>
      <c r="AH41" s="19">
        <f t="shared" si="14"/>
        <v>3.125</v>
      </c>
      <c r="AI41" s="19">
        <f t="shared" si="15"/>
        <v>10.192406367266701</v>
      </c>
      <c r="AJ41" s="19">
        <f t="shared" si="16"/>
        <v>13.59960547</v>
      </c>
      <c r="AK41" s="19">
        <f t="shared" si="17"/>
        <v>8.9442317427666698</v>
      </c>
      <c r="AL41" s="19">
        <f t="shared" si="18"/>
        <v>11.912615045000001</v>
      </c>
      <c r="AM41" s="20">
        <f>AI41/Assumptions!$B$13</f>
        <v>0.16178422805185239</v>
      </c>
      <c r="AN41" s="20">
        <f>AK41/Assumptions!$B$13</f>
        <v>0.14197193242486777</v>
      </c>
      <c r="AO41" s="19">
        <f t="shared" si="19"/>
        <v>5.2593393504152353</v>
      </c>
      <c r="AP41" s="17">
        <f>H41*Assumptions!$B$16/1000000000000</f>
        <v>271.31485465083716</v>
      </c>
      <c r="AQ41" s="14">
        <f>AP41/Assumptions!$B$9</f>
        <v>67.828713662709291</v>
      </c>
      <c r="AR41" s="20">
        <f>AQ41/Assumptions!$B$11</f>
        <v>6.7828713662709289E-2</v>
      </c>
      <c r="AS41" s="14">
        <f t="shared" si="20"/>
        <v>80.160614181953605</v>
      </c>
      <c r="AT41" s="14">
        <f>Assumptions!$B$21*O41/100</f>
        <v>3.318875390190974</v>
      </c>
      <c r="AU41" s="14">
        <f>Assumptions!$B$21*P41/100</f>
        <v>4.296352388671874</v>
      </c>
      <c r="AV41" s="18">
        <f>H41/(K41*Assumptions!$B$9)</f>
        <v>2.0784676614178252</v>
      </c>
      <c r="AW41" s="18">
        <f t="shared" si="21"/>
        <v>8.2118044689240638E-2</v>
      </c>
    </row>
    <row r="42" spans="1:49" x14ac:dyDescent="0.2">
      <c r="A42" s="16">
        <v>256</v>
      </c>
      <c r="B42" s="16">
        <v>1024</v>
      </c>
      <c r="C42" s="16">
        <v>5</v>
      </c>
      <c r="D42" s="16">
        <v>100</v>
      </c>
      <c r="E42" s="16">
        <v>73</v>
      </c>
      <c r="F42" s="17">
        <v>91.813478851108798</v>
      </c>
      <c r="G42" s="14">
        <v>40.059324867427399</v>
      </c>
      <c r="H42" s="17">
        <v>1532.4462907068701</v>
      </c>
      <c r="I42" s="14">
        <v>91.1</v>
      </c>
      <c r="J42" s="16">
        <v>100</v>
      </c>
      <c r="K42" s="14">
        <v>250.6</v>
      </c>
      <c r="L42" s="14">
        <v>315.7</v>
      </c>
      <c r="M42" s="13">
        <v>87187</v>
      </c>
      <c r="N42" s="13">
        <v>87187</v>
      </c>
      <c r="O42" s="14">
        <v>4.9000000000000004</v>
      </c>
      <c r="P42" s="14">
        <v>10.8</v>
      </c>
      <c r="Q42" s="18">
        <v>0.91984027777777799</v>
      </c>
      <c r="R42" s="18">
        <v>0.996</v>
      </c>
      <c r="S42" s="18">
        <v>0.36009722222222201</v>
      </c>
      <c r="T42" s="18">
        <v>0.55700000000000005</v>
      </c>
      <c r="U42" s="18">
        <v>2.9520833333333302E-2</v>
      </c>
      <c r="V42" s="18">
        <v>5.5E-2</v>
      </c>
      <c r="W42" s="18">
        <v>0.106201388888889</v>
      </c>
      <c r="X42" s="18">
        <v>0.16900000000000001</v>
      </c>
      <c r="Y42" s="18">
        <v>0.35232638888888901</v>
      </c>
      <c r="Z42" s="18">
        <v>0.55700000000000005</v>
      </c>
      <c r="AA42" s="13">
        <v>9903360579.2291698</v>
      </c>
      <c r="AB42" s="13">
        <v>14188826313</v>
      </c>
      <c r="AC42" s="13">
        <v>8727068677.5833302</v>
      </c>
      <c r="AD42" s="13">
        <v>12694933843</v>
      </c>
      <c r="AE42" s="13">
        <f t="shared" si="11"/>
        <v>1280</v>
      </c>
      <c r="AF42" s="14">
        <f t="shared" si="12"/>
        <v>20</v>
      </c>
      <c r="AG42" s="14">
        <f t="shared" si="13"/>
        <v>53</v>
      </c>
      <c r="AH42" s="19">
        <f t="shared" si="14"/>
        <v>1.3698630136986301</v>
      </c>
      <c r="AI42" s="19">
        <f t="shared" si="15"/>
        <v>9.9033605792291706</v>
      </c>
      <c r="AJ42" s="19">
        <f t="shared" si="16"/>
        <v>14.188826313</v>
      </c>
      <c r="AK42" s="19">
        <f t="shared" si="17"/>
        <v>8.7270686775833308</v>
      </c>
      <c r="AL42" s="19">
        <f t="shared" si="18"/>
        <v>12.694933842999999</v>
      </c>
      <c r="AM42" s="20">
        <f>AI42/Assumptions!$B$13</f>
        <v>0.15719619967030429</v>
      </c>
      <c r="AN42" s="20">
        <f>AK42/Assumptions!$B$13</f>
        <v>0.13852489964417986</v>
      </c>
      <c r="AO42" s="19">
        <f t="shared" si="19"/>
        <v>6.4624519888792031</v>
      </c>
      <c r="AP42" s="17">
        <f>H42*Assumptions!$B$16/1000000000000</f>
        <v>214.54248069896181</v>
      </c>
      <c r="AQ42" s="14">
        <f>AP42/Assumptions!$B$9</f>
        <v>53.635620174740453</v>
      </c>
      <c r="AR42" s="20">
        <f>AQ42/Assumptions!$B$11</f>
        <v>5.3635620174740453E-2</v>
      </c>
      <c r="AS42" s="14">
        <f t="shared" si="20"/>
        <v>61.388763801310596</v>
      </c>
      <c r="AT42" s="14">
        <f>Assumptions!$B$21*O42/100</f>
        <v>3.3416074134114582</v>
      </c>
      <c r="AU42" s="14">
        <f>Assumptions!$B$21*P42/100</f>
        <v>7.3651755234374994</v>
      </c>
      <c r="AV42" s="18">
        <f>H42/(K42*Assumptions!$B$9)</f>
        <v>1.5287772253659917</v>
      </c>
      <c r="AW42" s="18">
        <f t="shared" si="21"/>
        <v>8.1980175107031233E-2</v>
      </c>
    </row>
    <row r="43" spans="1:49" x14ac:dyDescent="0.2">
      <c r="A43" s="16">
        <v>256</v>
      </c>
      <c r="B43" s="16">
        <v>1024</v>
      </c>
      <c r="C43" s="16">
        <v>10</v>
      </c>
      <c r="D43" s="16">
        <v>100</v>
      </c>
      <c r="E43" s="16">
        <v>65</v>
      </c>
      <c r="F43" s="17">
        <v>94.797720977803706</v>
      </c>
      <c r="G43" s="14">
        <v>41.3603552916911</v>
      </c>
      <c r="H43" s="17">
        <v>1727.6286411768399</v>
      </c>
      <c r="I43" s="14">
        <v>90.5</v>
      </c>
      <c r="J43" s="16">
        <v>100</v>
      </c>
      <c r="K43" s="14">
        <v>248.4</v>
      </c>
      <c r="L43" s="14">
        <v>305.7</v>
      </c>
      <c r="M43" s="13">
        <v>87187</v>
      </c>
      <c r="N43" s="13">
        <v>87187</v>
      </c>
      <c r="O43" s="14">
        <v>5.5714285714285703</v>
      </c>
      <c r="P43" s="14">
        <v>10.9</v>
      </c>
      <c r="Q43" s="18">
        <v>0.916109375</v>
      </c>
      <c r="R43" s="18">
        <v>0.996</v>
      </c>
      <c r="S43" s="18">
        <v>0.3433671875</v>
      </c>
      <c r="T43" s="18">
        <v>0.55400000000000005</v>
      </c>
      <c r="U43" s="18">
        <v>2.8585937499999999E-2</v>
      </c>
      <c r="V43" s="18">
        <v>5.5E-2</v>
      </c>
      <c r="W43" s="18">
        <v>0.11140625</v>
      </c>
      <c r="X43" s="18">
        <v>0.16800000000000001</v>
      </c>
      <c r="Y43" s="18">
        <v>0.34599218749999999</v>
      </c>
      <c r="Z43" s="18">
        <v>0.58299999999999996</v>
      </c>
      <c r="AA43" s="13">
        <v>10216936228.3281</v>
      </c>
      <c r="AB43" s="13">
        <v>13772328583</v>
      </c>
      <c r="AC43" s="13">
        <v>8975273441.5859394</v>
      </c>
      <c r="AD43" s="13">
        <v>12205323113</v>
      </c>
      <c r="AE43" s="13">
        <f t="shared" si="11"/>
        <v>1280</v>
      </c>
      <c r="AF43" s="14">
        <f t="shared" si="12"/>
        <v>10</v>
      </c>
      <c r="AG43" s="14">
        <f t="shared" si="13"/>
        <v>55</v>
      </c>
      <c r="AH43" s="19">
        <f t="shared" si="14"/>
        <v>1.5384615384615385</v>
      </c>
      <c r="AI43" s="19">
        <f t="shared" si="15"/>
        <v>10.2169362283281</v>
      </c>
      <c r="AJ43" s="19">
        <f t="shared" si="16"/>
        <v>13.772328583</v>
      </c>
      <c r="AK43" s="19">
        <f t="shared" si="17"/>
        <v>8.975273441585939</v>
      </c>
      <c r="AL43" s="19">
        <f t="shared" si="18"/>
        <v>12.205323113</v>
      </c>
      <c r="AM43" s="20">
        <f>AI43/Assumptions!$B$13</f>
        <v>0.16217359092584285</v>
      </c>
      <c r="AN43" s="20">
        <f>AK43/Assumptions!$B$13</f>
        <v>0.14246465780295142</v>
      </c>
      <c r="AO43" s="19">
        <f t="shared" si="19"/>
        <v>5.9138497619305763</v>
      </c>
      <c r="AP43" s="17">
        <f>H43*Assumptions!$B$16/1000000000000</f>
        <v>241.8680097647576</v>
      </c>
      <c r="AQ43" s="14">
        <f>AP43/Assumptions!$B$9</f>
        <v>60.4670024411894</v>
      </c>
      <c r="AR43" s="20">
        <f>AQ43/Assumptions!$B$11</f>
        <v>6.0467002441189403E-2</v>
      </c>
      <c r="AS43" s="14">
        <f t="shared" si="20"/>
        <v>71.455334411175613</v>
      </c>
      <c r="AT43" s="14">
        <f>Assumptions!$B$21*O43/100</f>
        <v>3.7994953097098203</v>
      </c>
      <c r="AU43" s="14">
        <f>Assumptions!$B$21*P43/100</f>
        <v>7.4333715930989577</v>
      </c>
      <c r="AV43" s="18">
        <f>H43/(K43*Assumptions!$B$9)</f>
        <v>1.7387566839541464</v>
      </c>
      <c r="AW43" s="18">
        <f t="shared" si="21"/>
        <v>8.3251803144410816E-2</v>
      </c>
    </row>
    <row r="44" spans="1:49" x14ac:dyDescent="0.2">
      <c r="A44" s="16">
        <v>256</v>
      </c>
      <c r="B44" s="16">
        <v>1024</v>
      </c>
      <c r="C44" s="16">
        <v>20</v>
      </c>
      <c r="D44" s="16">
        <v>100</v>
      </c>
      <c r="E44" s="16">
        <v>75</v>
      </c>
      <c r="F44" s="17">
        <v>96.041707039694302</v>
      </c>
      <c r="G44" s="14">
        <v>41.943025705818897</v>
      </c>
      <c r="H44" s="17">
        <v>1836.60271362304</v>
      </c>
      <c r="I44" s="14">
        <v>73.400000000000006</v>
      </c>
      <c r="J44" s="16">
        <v>100</v>
      </c>
      <c r="K44" s="14">
        <v>218.3</v>
      </c>
      <c r="L44" s="14">
        <v>311.10000000000002</v>
      </c>
      <c r="M44" s="13">
        <v>87187</v>
      </c>
      <c r="N44" s="13">
        <v>87187</v>
      </c>
      <c r="O44" s="14">
        <v>5.0250000000000004</v>
      </c>
      <c r="P44" s="14">
        <v>11.2</v>
      </c>
      <c r="Q44" s="18">
        <v>0.75860135135135098</v>
      </c>
      <c r="R44" s="18">
        <v>0.996</v>
      </c>
      <c r="S44" s="18">
        <v>0.27420945945945902</v>
      </c>
      <c r="T44" s="18">
        <v>0.54800000000000004</v>
      </c>
      <c r="U44" s="18">
        <v>2.2628378378378299E-2</v>
      </c>
      <c r="V44" s="18">
        <v>5.0999999999999997E-2</v>
      </c>
      <c r="W44" s="18">
        <v>9.2675675675675598E-2</v>
      </c>
      <c r="X44" s="18">
        <v>0.155</v>
      </c>
      <c r="Y44" s="18">
        <v>0.27800000000000002</v>
      </c>
      <c r="Z44" s="18">
        <v>0.54200000000000004</v>
      </c>
      <c r="AA44" s="13">
        <v>8582381020.0135098</v>
      </c>
      <c r="AB44" s="13">
        <v>14065891689</v>
      </c>
      <c r="AC44" s="13">
        <v>7541111622.7837801</v>
      </c>
      <c r="AD44" s="13">
        <v>12352986856</v>
      </c>
      <c r="AE44" s="13">
        <f t="shared" si="11"/>
        <v>1280</v>
      </c>
      <c r="AF44" s="14">
        <f t="shared" si="12"/>
        <v>5</v>
      </c>
      <c r="AG44" s="14">
        <f t="shared" si="13"/>
        <v>70</v>
      </c>
      <c r="AH44" s="19">
        <f t="shared" si="14"/>
        <v>1.3333333333333333</v>
      </c>
      <c r="AI44" s="19">
        <f t="shared" si="15"/>
        <v>8.5823810200135089</v>
      </c>
      <c r="AJ44" s="19">
        <f t="shared" si="16"/>
        <v>14.065891689000001</v>
      </c>
      <c r="AK44" s="19">
        <f t="shared" si="17"/>
        <v>7.54111162278378</v>
      </c>
      <c r="AL44" s="19">
        <f t="shared" si="18"/>
        <v>12.352986855999999</v>
      </c>
      <c r="AM44" s="20">
        <f>AI44/Assumptions!$B$13</f>
        <v>0.13622827015894459</v>
      </c>
      <c r="AN44" s="20">
        <f>AK44/Assumptions!$B$13</f>
        <v>0.11970018448863143</v>
      </c>
      <c r="AO44" s="19">
        <f t="shared" si="19"/>
        <v>4.6729654466660184</v>
      </c>
      <c r="AP44" s="17">
        <f>H44*Assumptions!$B$16/1000000000000</f>
        <v>257.1243799072256</v>
      </c>
      <c r="AQ44" s="14">
        <f>AP44/Assumptions!$B$9</f>
        <v>64.281094976806401</v>
      </c>
      <c r="AR44" s="20">
        <f>AQ44/Assumptions!$B$11</f>
        <v>6.4281094976806397E-2</v>
      </c>
      <c r="AS44" s="14">
        <f t="shared" si="20"/>
        <v>77.032674828867911</v>
      </c>
      <c r="AT44" s="14">
        <f>Assumptions!$B$21*O44/100</f>
        <v>3.4268525004882808</v>
      </c>
      <c r="AU44" s="14">
        <f>Assumptions!$B$21*P44/100</f>
        <v>7.6379598020833317</v>
      </c>
      <c r="AV44" s="18">
        <f>H44/(K44*Assumptions!$B$9)</f>
        <v>2.1033013211441136</v>
      </c>
      <c r="AW44" s="18">
        <f t="shared" si="21"/>
        <v>8.2522238375674392E-2</v>
      </c>
    </row>
    <row r="45" spans="1:49" x14ac:dyDescent="0.2">
      <c r="A45" s="16">
        <v>256</v>
      </c>
      <c r="B45" s="16">
        <v>1024</v>
      </c>
      <c r="C45" s="16">
        <v>50</v>
      </c>
      <c r="D45" s="16">
        <v>100</v>
      </c>
      <c r="E45" s="16">
        <v>60</v>
      </c>
      <c r="F45" s="17">
        <v>96.176861301064505</v>
      </c>
      <c r="G45" s="14">
        <v>42.598970369258801</v>
      </c>
      <c r="H45" s="17">
        <v>1884.39801929185</v>
      </c>
      <c r="I45" s="14">
        <v>89.8</v>
      </c>
      <c r="J45" s="16">
        <v>100</v>
      </c>
      <c r="K45" s="14">
        <v>253.7</v>
      </c>
      <c r="L45" s="14">
        <v>299.2</v>
      </c>
      <c r="M45" s="13">
        <v>87187</v>
      </c>
      <c r="N45" s="13">
        <v>87187</v>
      </c>
      <c r="O45" s="14">
        <v>8.1</v>
      </c>
      <c r="P45" s="14">
        <v>11.2</v>
      </c>
      <c r="Q45" s="18">
        <v>0.90976724137930998</v>
      </c>
      <c r="R45" s="18">
        <v>0.996</v>
      </c>
      <c r="S45" s="18">
        <v>0.31700862068965502</v>
      </c>
      <c r="T45" s="18">
        <v>0.50600000000000001</v>
      </c>
      <c r="U45" s="18">
        <v>2.5836206896551701E-2</v>
      </c>
      <c r="V45" s="18">
        <v>4.7E-2</v>
      </c>
      <c r="W45" s="18">
        <v>0.116379310344828</v>
      </c>
      <c r="X45" s="18">
        <v>0.157</v>
      </c>
      <c r="Y45" s="18">
        <v>0.32233620689655201</v>
      </c>
      <c r="Z45" s="18">
        <v>0.49199999999999999</v>
      </c>
      <c r="AA45" s="13">
        <v>10717274856.879299</v>
      </c>
      <c r="AB45" s="13">
        <v>13518487728</v>
      </c>
      <c r="AC45" s="13">
        <v>9430237454.1810303</v>
      </c>
      <c r="AD45" s="13">
        <v>12360504291</v>
      </c>
      <c r="AE45" s="13">
        <f t="shared" si="11"/>
        <v>1280</v>
      </c>
      <c r="AF45" s="14">
        <f t="shared" si="12"/>
        <v>2</v>
      </c>
      <c r="AG45" s="14">
        <f t="shared" si="13"/>
        <v>58</v>
      </c>
      <c r="AH45" s="19">
        <f t="shared" si="14"/>
        <v>1.6666666666666667</v>
      </c>
      <c r="AI45" s="19">
        <f t="shared" si="15"/>
        <v>10.7172748568793</v>
      </c>
      <c r="AJ45" s="19">
        <f t="shared" si="16"/>
        <v>13.518487728</v>
      </c>
      <c r="AK45" s="19">
        <f t="shared" si="17"/>
        <v>9.4302374541810305</v>
      </c>
      <c r="AL45" s="19">
        <f t="shared" si="18"/>
        <v>12.360504291</v>
      </c>
      <c r="AM45" s="20">
        <f>AI45/Assumptions!$B$13</f>
        <v>0.17011547391871903</v>
      </c>
      <c r="AN45" s="20">
        <f>AK45/Assumptions!$B$13</f>
        <v>0.14968630879652428</v>
      </c>
      <c r="AO45" s="19">
        <f t="shared" si="19"/>
        <v>5.6873732338706304</v>
      </c>
      <c r="AP45" s="17">
        <f>H45*Assumptions!$B$16/1000000000000</f>
        <v>263.815722700859</v>
      </c>
      <c r="AQ45" s="14">
        <f>AP45/Assumptions!$B$9</f>
        <v>65.95393067521475</v>
      </c>
      <c r="AR45" s="20">
        <f>AQ45/Assumptions!$B$11</f>
        <v>6.5953930675214753E-2</v>
      </c>
      <c r="AS45" s="14">
        <f t="shared" si="20"/>
        <v>80.273415387703494</v>
      </c>
      <c r="AT45" s="14">
        <f>Assumptions!$B$21*O45/100</f>
        <v>5.5238816425781234</v>
      </c>
      <c r="AU45" s="14">
        <f>Assumptions!$B$21*P45/100</f>
        <v>7.6379598020833317</v>
      </c>
      <c r="AV45" s="18">
        <f>H45/(K45*Assumptions!$B$9)</f>
        <v>1.8569156674141212</v>
      </c>
      <c r="AW45" s="18">
        <f t="shared" si="21"/>
        <v>8.15000135969325E-2</v>
      </c>
    </row>
    <row r="46" spans="1:49" x14ac:dyDescent="0.2">
      <c r="A46" s="16">
        <v>256</v>
      </c>
      <c r="B46" s="16">
        <v>1024</v>
      </c>
      <c r="C46" s="16">
        <v>100</v>
      </c>
      <c r="D46" s="16">
        <v>100</v>
      </c>
      <c r="E46" s="16">
        <v>59</v>
      </c>
      <c r="F46" s="17">
        <v>103.34503159218001</v>
      </c>
      <c r="G46" s="14">
        <v>42.385740108218897</v>
      </c>
      <c r="H46" s="17">
        <v>1918.54459144422</v>
      </c>
      <c r="I46" s="14">
        <v>89.8</v>
      </c>
      <c r="J46" s="16">
        <v>100</v>
      </c>
      <c r="K46" s="14">
        <v>247.8</v>
      </c>
      <c r="L46" s="14">
        <v>294.7</v>
      </c>
      <c r="M46" s="13">
        <v>87187</v>
      </c>
      <c r="N46" s="13">
        <v>87187</v>
      </c>
      <c r="O46" s="14">
        <v>6.68333333333333</v>
      </c>
      <c r="P46" s="14">
        <v>11.6</v>
      </c>
      <c r="Q46" s="18">
        <v>0.90361206896551705</v>
      </c>
      <c r="R46" s="18">
        <v>0.996</v>
      </c>
      <c r="S46" s="18">
        <v>0.31853448275862101</v>
      </c>
      <c r="T46" s="18">
        <v>0.53300000000000003</v>
      </c>
      <c r="U46" s="18">
        <v>2.6051724137930998E-2</v>
      </c>
      <c r="V46" s="18">
        <v>4.9000000000000002E-2</v>
      </c>
      <c r="W46" s="18">
        <v>0.11402586206896601</v>
      </c>
      <c r="X46" s="18">
        <v>0.154</v>
      </c>
      <c r="Y46" s="18">
        <v>0.32818103448275898</v>
      </c>
      <c r="Z46" s="18">
        <v>0.52600000000000002</v>
      </c>
      <c r="AA46" s="13">
        <v>10679301255.569</v>
      </c>
      <c r="AB46" s="13">
        <v>13617043686</v>
      </c>
      <c r="AC46" s="13">
        <v>9368828236.4224091</v>
      </c>
      <c r="AD46" s="13">
        <v>12086094392</v>
      </c>
      <c r="AE46" s="13">
        <f t="shared" si="11"/>
        <v>1280</v>
      </c>
      <c r="AF46" s="14">
        <f t="shared" si="12"/>
        <v>1</v>
      </c>
      <c r="AG46" s="14">
        <f t="shared" si="13"/>
        <v>58</v>
      </c>
      <c r="AH46" s="19">
        <f t="shared" si="14"/>
        <v>1.6949152542372881</v>
      </c>
      <c r="AI46" s="19">
        <f t="shared" si="15"/>
        <v>10.679301255568999</v>
      </c>
      <c r="AJ46" s="19">
        <f t="shared" si="16"/>
        <v>13.617043686000001</v>
      </c>
      <c r="AK46" s="19">
        <f t="shared" si="17"/>
        <v>9.3688282364224094</v>
      </c>
      <c r="AL46" s="19">
        <f t="shared" si="18"/>
        <v>12.086094392</v>
      </c>
      <c r="AM46" s="20">
        <f>AI46/Assumptions!$B$13</f>
        <v>0.16951271834236506</v>
      </c>
      <c r="AN46" s="20">
        <f>AK46/Assumptions!$B$13</f>
        <v>0.14871155930829222</v>
      </c>
      <c r="AO46" s="19">
        <f t="shared" si="19"/>
        <v>5.5663555088547394</v>
      </c>
      <c r="AP46" s="17">
        <f>H46*Assumptions!$B$16/1000000000000</f>
        <v>268.59624280219083</v>
      </c>
      <c r="AQ46" s="14">
        <f>AP46/Assumptions!$B$9</f>
        <v>67.149060700547707</v>
      </c>
      <c r="AR46" s="20">
        <f>AQ46/Assumptions!$B$11</f>
        <v>6.7149060700547714E-2</v>
      </c>
      <c r="AS46" s="14">
        <f t="shared" si="20"/>
        <v>81.318932438983708</v>
      </c>
      <c r="AT46" s="14">
        <f>Assumptions!$B$21*O46/100</f>
        <v>4.5577706557074622</v>
      </c>
      <c r="AU46" s="14">
        <f>Assumptions!$B$21*P46/100</f>
        <v>7.9107440807291649</v>
      </c>
      <c r="AV46" s="18">
        <f>H46/(K46*Assumptions!$B$9)</f>
        <v>1.9355776749840798</v>
      </c>
      <c r="AW46" s="18">
        <f t="shared" si="21"/>
        <v>8.1786197564275853E-2</v>
      </c>
    </row>
    <row r="47" spans="1:49" x14ac:dyDescent="0.2">
      <c r="A47" s="16">
        <v>256</v>
      </c>
      <c r="B47" s="16">
        <v>2048</v>
      </c>
      <c r="C47" s="16">
        <v>5</v>
      </c>
      <c r="D47" s="16">
        <v>100</v>
      </c>
      <c r="E47" s="16">
        <v>130</v>
      </c>
      <c r="F47" s="17">
        <v>120.72339482547299</v>
      </c>
      <c r="G47" s="14">
        <v>44.149382831554597</v>
      </c>
      <c r="H47" s="17">
        <v>1639.0750540346901</v>
      </c>
      <c r="I47" s="14">
        <v>95.1</v>
      </c>
      <c r="J47" s="16">
        <v>100</v>
      </c>
      <c r="K47" s="14">
        <v>259.8</v>
      </c>
      <c r="L47" s="14">
        <v>304</v>
      </c>
      <c r="M47" s="13">
        <v>87185</v>
      </c>
      <c r="N47" s="13">
        <v>87185</v>
      </c>
      <c r="O47" s="14">
        <v>10.9384615384615</v>
      </c>
      <c r="P47" s="14">
        <v>19.600000000000001</v>
      </c>
      <c r="Q47" s="18">
        <v>0.94754615384615404</v>
      </c>
      <c r="R47" s="18">
        <v>0.996</v>
      </c>
      <c r="S47" s="18">
        <v>0.383723076923077</v>
      </c>
      <c r="T47" s="18">
        <v>0.56200000000000006</v>
      </c>
      <c r="U47" s="18">
        <v>3.1081081081081E-2</v>
      </c>
      <c r="V47" s="18">
        <v>5.5E-2</v>
      </c>
      <c r="W47" s="18">
        <v>0.1195</v>
      </c>
      <c r="X47" s="18">
        <v>0.17</v>
      </c>
      <c r="Y47" s="18">
        <v>0.38099613899613899</v>
      </c>
      <c r="Z47" s="18">
        <v>0.56200000000000006</v>
      </c>
      <c r="AA47" s="13">
        <v>10323245848.946199</v>
      </c>
      <c r="AB47" s="13">
        <v>15714894422</v>
      </c>
      <c r="AC47" s="13">
        <v>8993986523.3461494</v>
      </c>
      <c r="AD47" s="13">
        <v>13822575644</v>
      </c>
      <c r="AE47" s="13">
        <f t="shared" si="11"/>
        <v>2304</v>
      </c>
      <c r="AF47" s="14">
        <f t="shared" si="12"/>
        <v>20</v>
      </c>
      <c r="AG47" s="14">
        <f t="shared" si="13"/>
        <v>110</v>
      </c>
      <c r="AH47" s="19">
        <f t="shared" si="14"/>
        <v>0.76923076923076927</v>
      </c>
      <c r="AI47" s="19">
        <f t="shared" si="15"/>
        <v>10.323245848946199</v>
      </c>
      <c r="AJ47" s="19">
        <f t="shared" si="16"/>
        <v>15.714894422</v>
      </c>
      <c r="AK47" s="19">
        <f t="shared" si="17"/>
        <v>8.99398652334615</v>
      </c>
      <c r="AL47" s="19">
        <f t="shared" si="18"/>
        <v>13.822575644</v>
      </c>
      <c r="AM47" s="20">
        <f>AI47/Assumptions!$B$13</f>
        <v>0.16386104522136824</v>
      </c>
      <c r="AN47" s="20">
        <f>AK47/Assumptions!$B$13</f>
        <v>0.14276169084676429</v>
      </c>
      <c r="AO47" s="19">
        <f t="shared" si="19"/>
        <v>6.2982142419499691</v>
      </c>
      <c r="AP47" s="17">
        <f>H47*Assumptions!$B$16/1000000000000</f>
        <v>229.47050756485663</v>
      </c>
      <c r="AQ47" s="14">
        <f>AP47/Assumptions!$B$9</f>
        <v>57.367626891214158</v>
      </c>
      <c r="AR47" s="20">
        <f>AQ47/Assumptions!$B$11</f>
        <v>5.7367626891214156E-2</v>
      </c>
      <c r="AS47" s="14">
        <f t="shared" si="20"/>
        <v>72.364152050228569</v>
      </c>
      <c r="AT47" s="14">
        <f>Assumptions!$B$21*O47/100</f>
        <v>7.4596008506610305</v>
      </c>
      <c r="AU47" s="14">
        <f>Assumptions!$B$21*P47/100</f>
        <v>13.366429653645833</v>
      </c>
      <c r="AV47" s="18">
        <f>H47/(K47*Assumptions!$B$9)</f>
        <v>1.577246972704667</v>
      </c>
      <c r="AW47" s="18">
        <f t="shared" si="21"/>
        <v>8.0998727859444494E-2</v>
      </c>
    </row>
    <row r="48" spans="1:49" x14ac:dyDescent="0.2">
      <c r="A48" s="16">
        <v>256</v>
      </c>
      <c r="B48" s="16">
        <v>2048</v>
      </c>
      <c r="C48" s="16">
        <v>10</v>
      </c>
      <c r="D48" s="16">
        <v>100</v>
      </c>
      <c r="E48" s="16">
        <v>123</v>
      </c>
      <c r="F48" s="17">
        <v>91.750933902221703</v>
      </c>
      <c r="G48" s="14">
        <v>44.266966951749303</v>
      </c>
      <c r="H48" s="17">
        <v>1744.0323283130599</v>
      </c>
      <c r="I48" s="14">
        <v>94.9</v>
      </c>
      <c r="J48" s="16">
        <v>100</v>
      </c>
      <c r="K48" s="14">
        <v>258.60000000000002</v>
      </c>
      <c r="L48" s="14">
        <v>302.89999999999998</v>
      </c>
      <c r="M48" s="13">
        <v>87185</v>
      </c>
      <c r="N48" s="13">
        <v>87185</v>
      </c>
      <c r="O48" s="14">
        <v>10.9769230769231</v>
      </c>
      <c r="P48" s="14">
        <v>20</v>
      </c>
      <c r="Q48" s="18">
        <v>0.95328278688524604</v>
      </c>
      <c r="R48" s="18">
        <v>0.996</v>
      </c>
      <c r="S48" s="18">
        <v>0.37759426229508197</v>
      </c>
      <c r="T48" s="18">
        <v>0.56599999999999995</v>
      </c>
      <c r="U48" s="18">
        <v>3.02131147540983E-2</v>
      </c>
      <c r="V48" s="18">
        <v>5.6000000000000001E-2</v>
      </c>
      <c r="W48" s="18">
        <v>0.120409836065574</v>
      </c>
      <c r="X48" s="18">
        <v>0.16200000000000001</v>
      </c>
      <c r="Y48" s="18">
        <v>0.38331967213114798</v>
      </c>
      <c r="Z48" s="18">
        <v>0.56699999999999995</v>
      </c>
      <c r="AA48" s="13">
        <v>10374130602.3484</v>
      </c>
      <c r="AB48" s="13">
        <v>13509762792</v>
      </c>
      <c r="AC48" s="13">
        <v>9103338194.9344196</v>
      </c>
      <c r="AD48" s="13">
        <v>11998405875</v>
      </c>
      <c r="AE48" s="13">
        <f t="shared" si="11"/>
        <v>2304</v>
      </c>
      <c r="AF48" s="14">
        <f t="shared" si="12"/>
        <v>10</v>
      </c>
      <c r="AG48" s="14">
        <f t="shared" si="13"/>
        <v>113</v>
      </c>
      <c r="AH48" s="19">
        <f t="shared" si="14"/>
        <v>0.81300813008130079</v>
      </c>
      <c r="AI48" s="19">
        <f t="shared" si="15"/>
        <v>10.3741306023484</v>
      </c>
      <c r="AJ48" s="19">
        <f t="shared" si="16"/>
        <v>13.509762792</v>
      </c>
      <c r="AK48" s="19">
        <f t="shared" si="17"/>
        <v>9.1033381949344196</v>
      </c>
      <c r="AL48" s="19">
        <f t="shared" si="18"/>
        <v>11.998405875</v>
      </c>
      <c r="AM48" s="20">
        <f>AI48/Assumptions!$B$13</f>
        <v>0.16466873971981585</v>
      </c>
      <c r="AN48" s="20">
        <f>AK48/Assumptions!$B$13</f>
        <v>0.1444974316656257</v>
      </c>
      <c r="AO48" s="19">
        <f t="shared" si="19"/>
        <v>5.9483591180806412</v>
      </c>
      <c r="AP48" s="17">
        <f>H48*Assumptions!$B$16/1000000000000</f>
        <v>244.16452596382837</v>
      </c>
      <c r="AQ48" s="14">
        <f>AP48/Assumptions!$B$9</f>
        <v>61.041131490957092</v>
      </c>
      <c r="AR48" s="20">
        <f>AQ48/Assumptions!$B$11</f>
        <v>6.1041131490957093E-2</v>
      </c>
      <c r="AS48" s="14">
        <f t="shared" si="20"/>
        <v>77.203021440216617</v>
      </c>
      <c r="AT48" s="14">
        <f>Assumptions!$B$21*O48/100</f>
        <v>7.4858301082231717</v>
      </c>
      <c r="AU48" s="14">
        <f>Assumptions!$B$21*P48/100</f>
        <v>13.639213932291664</v>
      </c>
      <c r="AV48" s="18">
        <f>H48/(K48*Assumptions!$B$9)</f>
        <v>1.6860327999932905</v>
      </c>
      <c r="AW48" s="18">
        <f t="shared" si="21"/>
        <v>8.0014761269034826E-2</v>
      </c>
    </row>
    <row r="49" spans="1:49" x14ac:dyDescent="0.2">
      <c r="A49" s="16">
        <v>256</v>
      </c>
      <c r="B49" s="16">
        <v>2048</v>
      </c>
      <c r="C49" s="16">
        <v>20</v>
      </c>
      <c r="D49" s="16">
        <v>100</v>
      </c>
      <c r="E49" s="16">
        <v>120</v>
      </c>
      <c r="F49" s="17">
        <v>95.014866937417494</v>
      </c>
      <c r="G49" s="14">
        <v>44.502037276247798</v>
      </c>
      <c r="H49" s="17">
        <v>1796.5755792617299</v>
      </c>
      <c r="I49" s="14">
        <v>94.8</v>
      </c>
      <c r="J49" s="16">
        <v>100</v>
      </c>
      <c r="K49" s="14">
        <v>258.39999999999998</v>
      </c>
      <c r="L49" s="14">
        <v>302.89999999999998</v>
      </c>
      <c r="M49" s="13">
        <v>87185</v>
      </c>
      <c r="N49" s="13">
        <v>87185</v>
      </c>
      <c r="O49" s="14">
        <v>12.927272727272699</v>
      </c>
      <c r="P49" s="14">
        <v>20.3</v>
      </c>
      <c r="Q49" s="18">
        <v>0.95158898305084705</v>
      </c>
      <c r="R49" s="18">
        <v>0.996</v>
      </c>
      <c r="S49" s="18">
        <v>0.370042372881356</v>
      </c>
      <c r="T49" s="18">
        <v>0.55500000000000005</v>
      </c>
      <c r="U49" s="18">
        <v>2.9317796610169401E-2</v>
      </c>
      <c r="V49" s="18">
        <v>5.0999999999999997E-2</v>
      </c>
      <c r="W49" s="18">
        <v>0.121741525423729</v>
      </c>
      <c r="X49" s="18">
        <v>0.158</v>
      </c>
      <c r="Y49" s="18">
        <v>0.37789406779661</v>
      </c>
      <c r="Z49" s="18">
        <v>0.55300000000000005</v>
      </c>
      <c r="AA49" s="13">
        <v>10633170929.839001</v>
      </c>
      <c r="AB49" s="13">
        <v>13430010211</v>
      </c>
      <c r="AC49" s="13">
        <v>9324846044.7288094</v>
      </c>
      <c r="AD49" s="13">
        <v>11859994880</v>
      </c>
      <c r="AE49" s="13">
        <f t="shared" si="11"/>
        <v>2304</v>
      </c>
      <c r="AF49" s="14">
        <f t="shared" si="12"/>
        <v>5</v>
      </c>
      <c r="AG49" s="14">
        <f t="shared" si="13"/>
        <v>115</v>
      </c>
      <c r="AH49" s="19">
        <f t="shared" si="14"/>
        <v>0.83333333333333337</v>
      </c>
      <c r="AI49" s="19">
        <f t="shared" si="15"/>
        <v>10.633170929839</v>
      </c>
      <c r="AJ49" s="19">
        <f t="shared" si="16"/>
        <v>13.430010211000001</v>
      </c>
      <c r="AK49" s="19">
        <f t="shared" si="17"/>
        <v>9.32484604472881</v>
      </c>
      <c r="AL49" s="19">
        <f t="shared" si="18"/>
        <v>11.85999488</v>
      </c>
      <c r="AM49" s="20">
        <f>AI49/Assumptions!$B$13</f>
        <v>0.16878049094982539</v>
      </c>
      <c r="AN49" s="20">
        <f>AK49/Assumptions!$B$13</f>
        <v>0.14801342928140968</v>
      </c>
      <c r="AO49" s="19">
        <f t="shared" si="19"/>
        <v>5.9185770153953161</v>
      </c>
      <c r="AP49" s="17">
        <f>H49*Assumptions!$B$16/1000000000000</f>
        <v>251.52058109664219</v>
      </c>
      <c r="AQ49" s="14">
        <f>AP49/Assumptions!$B$9</f>
        <v>62.880145274160547</v>
      </c>
      <c r="AR49" s="20">
        <f>AQ49/Assumptions!$B$11</f>
        <v>6.2880145274160554E-2</v>
      </c>
      <c r="AS49" s="14">
        <f t="shared" si="20"/>
        <v>79.951273397901986</v>
      </c>
      <c r="AT49" s="14">
        <f>Assumptions!$B$21*O49/100</f>
        <v>8.8158919144175929</v>
      </c>
      <c r="AU49" s="14">
        <f>Assumptions!$B$21*P49/100</f>
        <v>13.84380214127604</v>
      </c>
      <c r="AV49" s="18">
        <f>H49/(K49*Assumptions!$B$9)</f>
        <v>1.7381729675519835</v>
      </c>
      <c r="AW49" s="18">
        <f t="shared" si="21"/>
        <v>7.9228214817359185E-2</v>
      </c>
    </row>
    <row r="50" spans="1:49" x14ac:dyDescent="0.2">
      <c r="A50" s="16">
        <v>256</v>
      </c>
      <c r="B50" s="16">
        <v>2048</v>
      </c>
      <c r="C50" s="16">
        <v>50</v>
      </c>
      <c r="D50" s="16">
        <v>100</v>
      </c>
      <c r="E50" s="16">
        <v>118</v>
      </c>
      <c r="F50" s="17">
        <v>96.785282492637606</v>
      </c>
      <c r="G50" s="14">
        <v>44.635962996064201</v>
      </c>
      <c r="H50" s="17">
        <v>1821.60293839467</v>
      </c>
      <c r="I50" s="14">
        <v>94.7</v>
      </c>
      <c r="J50" s="16">
        <v>100</v>
      </c>
      <c r="K50" s="14">
        <v>259.10000000000002</v>
      </c>
      <c r="L50" s="14">
        <v>306.89999999999998</v>
      </c>
      <c r="M50" s="13">
        <v>87185</v>
      </c>
      <c r="N50" s="13">
        <v>87185</v>
      </c>
      <c r="O50" s="14">
        <v>11.966666666666701</v>
      </c>
      <c r="P50" s="14">
        <v>20</v>
      </c>
      <c r="Q50" s="18">
        <v>0.950956896551724</v>
      </c>
      <c r="R50" s="18">
        <v>1</v>
      </c>
      <c r="S50" s="18">
        <v>0.36750862068965501</v>
      </c>
      <c r="T50" s="18">
        <v>0.55800000000000005</v>
      </c>
      <c r="U50" s="18">
        <v>2.9051724137931001E-2</v>
      </c>
      <c r="V50" s="18">
        <v>5.0999999999999997E-2</v>
      </c>
      <c r="W50" s="18">
        <v>0.122129310344828</v>
      </c>
      <c r="X50" s="18">
        <v>0.158</v>
      </c>
      <c r="Y50" s="18">
        <v>0.37588793103448298</v>
      </c>
      <c r="Z50" s="18">
        <v>0.55400000000000005</v>
      </c>
      <c r="AA50" s="13">
        <v>10656283672.5819</v>
      </c>
      <c r="AB50" s="13">
        <v>13509332210</v>
      </c>
      <c r="AC50" s="13">
        <v>9341628959.5344906</v>
      </c>
      <c r="AD50" s="13">
        <v>11837835173</v>
      </c>
      <c r="AE50" s="13">
        <f t="shared" si="11"/>
        <v>2304</v>
      </c>
      <c r="AF50" s="14">
        <f t="shared" si="12"/>
        <v>2</v>
      </c>
      <c r="AG50" s="14">
        <f t="shared" si="13"/>
        <v>116</v>
      </c>
      <c r="AH50" s="19">
        <f t="shared" si="14"/>
        <v>0.84745762711864403</v>
      </c>
      <c r="AI50" s="19">
        <f t="shared" si="15"/>
        <v>10.6562836725819</v>
      </c>
      <c r="AJ50" s="19">
        <f t="shared" si="16"/>
        <v>13.50933221</v>
      </c>
      <c r="AK50" s="19">
        <f t="shared" si="17"/>
        <v>9.341628959534491</v>
      </c>
      <c r="AL50" s="19">
        <f t="shared" si="18"/>
        <v>11.837835173</v>
      </c>
      <c r="AM50" s="20">
        <f>AI50/Assumptions!$B$13</f>
        <v>0.16914735988225238</v>
      </c>
      <c r="AN50" s="20">
        <f>AK50/Assumptions!$B$13</f>
        <v>0.14827982475451573</v>
      </c>
      <c r="AO50" s="19">
        <f t="shared" si="19"/>
        <v>5.8499486622331638</v>
      </c>
      <c r="AP50" s="17">
        <f>H50*Assumptions!$B$16/1000000000000</f>
        <v>255.02441137525381</v>
      </c>
      <c r="AQ50" s="14">
        <f>AP50/Assumptions!$B$9</f>
        <v>63.756102843813451</v>
      </c>
      <c r="AR50" s="20">
        <f>AQ50/Assumptions!$B$11</f>
        <v>6.3756102843813445E-2</v>
      </c>
      <c r="AS50" s="14">
        <f t="shared" si="20"/>
        <v>81.3090013517063</v>
      </c>
      <c r="AT50" s="14">
        <f>Assumptions!$B$21*O50/100</f>
        <v>8.1607963361545366</v>
      </c>
      <c r="AU50" s="14">
        <f>Assumptions!$B$21*P50/100</f>
        <v>13.639213932291664</v>
      </c>
      <c r="AV50" s="18">
        <f>H50/(K50*Assumptions!$B$9)</f>
        <v>1.7576253747536374</v>
      </c>
      <c r="AW50" s="18">
        <f t="shared" si="21"/>
        <v>7.9050456240763706E-2</v>
      </c>
    </row>
    <row r="51" spans="1:49" x14ac:dyDescent="0.2">
      <c r="A51" s="16">
        <v>256</v>
      </c>
      <c r="B51" s="16">
        <v>2048</v>
      </c>
      <c r="C51" s="16">
        <v>100</v>
      </c>
      <c r="D51" s="16">
        <v>100</v>
      </c>
      <c r="E51" s="16">
        <v>117</v>
      </c>
      <c r="F51" s="17">
        <v>102.105612758314</v>
      </c>
      <c r="G51" s="14">
        <v>44.649705810337302</v>
      </c>
      <c r="H51" s="17">
        <v>1830.6136514187001</v>
      </c>
      <c r="I51" s="14">
        <v>94.7</v>
      </c>
      <c r="J51" s="16">
        <v>100</v>
      </c>
      <c r="K51" s="14">
        <v>257.5</v>
      </c>
      <c r="L51" s="14">
        <v>301.89999999999998</v>
      </c>
      <c r="M51" s="13">
        <v>87185</v>
      </c>
      <c r="N51" s="13">
        <v>87185</v>
      </c>
      <c r="O51" s="14">
        <v>11.9166666666667</v>
      </c>
      <c r="P51" s="14">
        <v>20.100000000000001</v>
      </c>
      <c r="Q51" s="18">
        <v>0.951224137931034</v>
      </c>
      <c r="R51" s="18">
        <v>0.996</v>
      </c>
      <c r="S51" s="18">
        <v>0.36761206896551701</v>
      </c>
      <c r="T51" s="18">
        <v>0.55300000000000005</v>
      </c>
      <c r="U51" s="18">
        <v>2.9094827586206799E-2</v>
      </c>
      <c r="V51" s="18">
        <v>5.1999999999999998E-2</v>
      </c>
      <c r="W51" s="18">
        <v>0.12153017241379301</v>
      </c>
      <c r="X51" s="18">
        <v>0.158</v>
      </c>
      <c r="Y51" s="18">
        <v>0.37671982758620698</v>
      </c>
      <c r="Z51" s="18">
        <v>0.55100000000000005</v>
      </c>
      <c r="AA51" s="13">
        <v>10649486461.2845</v>
      </c>
      <c r="AB51" s="13">
        <v>13407048416</v>
      </c>
      <c r="AC51" s="13">
        <v>9335892262.3103504</v>
      </c>
      <c r="AD51" s="13">
        <v>11844309999</v>
      </c>
      <c r="AE51" s="13">
        <f t="shared" si="11"/>
        <v>2304</v>
      </c>
      <c r="AF51" s="14">
        <f t="shared" si="12"/>
        <v>1</v>
      </c>
      <c r="AG51" s="14">
        <f t="shared" si="13"/>
        <v>116</v>
      </c>
      <c r="AH51" s="19">
        <f t="shared" si="14"/>
        <v>0.85470085470085466</v>
      </c>
      <c r="AI51" s="19">
        <f t="shared" si="15"/>
        <v>10.6494864612845</v>
      </c>
      <c r="AJ51" s="19">
        <f t="shared" si="16"/>
        <v>13.407048416</v>
      </c>
      <c r="AK51" s="19">
        <f t="shared" si="17"/>
        <v>9.3358922623103506</v>
      </c>
      <c r="AL51" s="19">
        <f t="shared" si="18"/>
        <v>11.844309999</v>
      </c>
      <c r="AM51" s="20">
        <f>AI51/Assumptions!$B$13</f>
        <v>0.1690394676394365</v>
      </c>
      <c r="AN51" s="20">
        <f>AK51/Assumptions!$B$13</f>
        <v>0.14818876606841827</v>
      </c>
      <c r="AO51" s="19">
        <f t="shared" si="19"/>
        <v>5.817440754378346</v>
      </c>
      <c r="AP51" s="17">
        <f>H51*Assumptions!$B$16/1000000000000</f>
        <v>256.28591119861801</v>
      </c>
      <c r="AQ51" s="14">
        <f>AP51/Assumptions!$B$9</f>
        <v>64.071477799654502</v>
      </c>
      <c r="AR51" s="20">
        <f>AQ51/Assumptions!$B$11</f>
        <v>6.4071477799654497E-2</v>
      </c>
      <c r="AS51" s="14">
        <f t="shared" si="20"/>
        <v>81.73636098823232</v>
      </c>
      <c r="AT51" s="14">
        <f>Assumptions!$B$21*O51/100</f>
        <v>8.1266983013238061</v>
      </c>
      <c r="AU51" s="14">
        <f>Assumptions!$B$21*P51/100</f>
        <v>13.707410001953123</v>
      </c>
      <c r="AV51" s="18">
        <f>H51/(K51*Assumptions!$B$9)</f>
        <v>1.7772948072026216</v>
      </c>
      <c r="AW51" s="18">
        <f t="shared" si="21"/>
        <v>7.9145463499284543E-2</v>
      </c>
    </row>
    <row r="52" spans="1:49" x14ac:dyDescent="0.2">
      <c r="A52" s="16">
        <v>256</v>
      </c>
      <c r="B52" s="16">
        <v>5120</v>
      </c>
      <c r="C52" s="16">
        <v>5</v>
      </c>
      <c r="D52" s="16">
        <v>100</v>
      </c>
      <c r="E52" s="16">
        <v>339</v>
      </c>
      <c r="F52" s="17">
        <v>91.240119690773994</v>
      </c>
      <c r="G52" s="14">
        <v>51.377532945067799</v>
      </c>
      <c r="H52" s="17">
        <v>1531.27771578691</v>
      </c>
      <c r="I52" s="14">
        <v>98.1</v>
      </c>
      <c r="J52" s="16">
        <v>100</v>
      </c>
      <c r="K52" s="14">
        <v>282.2</v>
      </c>
      <c r="L52" s="14">
        <v>326</v>
      </c>
      <c r="M52" s="13">
        <v>87185</v>
      </c>
      <c r="N52" s="13">
        <v>87185</v>
      </c>
      <c r="O52" s="14">
        <v>27.4882352941177</v>
      </c>
      <c r="P52" s="14">
        <v>45.7</v>
      </c>
      <c r="Q52" s="18">
        <v>0.98035355029585802</v>
      </c>
      <c r="R52" s="18">
        <v>0.997</v>
      </c>
      <c r="S52" s="18">
        <v>0.45818343195266298</v>
      </c>
      <c r="T52" s="18">
        <v>0.57899999999999996</v>
      </c>
      <c r="U52" s="18">
        <v>3.4525925925925897E-2</v>
      </c>
      <c r="V52" s="18">
        <v>5.6000000000000001E-2</v>
      </c>
      <c r="W52" s="18">
        <v>0.134183703703704</v>
      </c>
      <c r="X52" s="18">
        <v>0.16800000000000001</v>
      </c>
      <c r="Y52" s="18">
        <v>0.46446884272997002</v>
      </c>
      <c r="Z52" s="18">
        <v>0.57999999999999996</v>
      </c>
      <c r="AA52" s="13">
        <v>9303024075.5917206</v>
      </c>
      <c r="AB52" s="13">
        <v>14153100250</v>
      </c>
      <c r="AC52" s="13">
        <v>8162477262.2781096</v>
      </c>
      <c r="AD52" s="13">
        <v>12644738473</v>
      </c>
      <c r="AE52" s="13">
        <f t="shared" si="11"/>
        <v>5376</v>
      </c>
      <c r="AF52" s="14">
        <f t="shared" si="12"/>
        <v>20</v>
      </c>
      <c r="AG52" s="14">
        <f t="shared" si="13"/>
        <v>319</v>
      </c>
      <c r="AH52" s="19">
        <f t="shared" si="14"/>
        <v>0.29498525073746312</v>
      </c>
      <c r="AI52" s="19">
        <f t="shared" si="15"/>
        <v>9.3030240755917202</v>
      </c>
      <c r="AJ52" s="19">
        <f t="shared" si="16"/>
        <v>14.15310025</v>
      </c>
      <c r="AK52" s="19">
        <f t="shared" si="17"/>
        <v>8.1624772622781094</v>
      </c>
      <c r="AL52" s="19">
        <f t="shared" si="18"/>
        <v>12.644738473</v>
      </c>
      <c r="AM52" s="20">
        <f>AI52/Assumptions!$B$13</f>
        <v>0.14766704881891618</v>
      </c>
      <c r="AN52" s="20">
        <f>AK52/Assumptions!$B$13</f>
        <v>0.12956313114727158</v>
      </c>
      <c r="AO52" s="19">
        <f t="shared" si="19"/>
        <v>6.0753343300702181</v>
      </c>
      <c r="AP52" s="17">
        <f>H52*Assumptions!$B$16/1000000000000</f>
        <v>214.37888021016741</v>
      </c>
      <c r="AQ52" s="14">
        <f>AP52/Assumptions!$B$9</f>
        <v>53.594720052541852</v>
      </c>
      <c r="AR52" s="20">
        <f>AQ52/Assumptions!$B$11</f>
        <v>5.3594720052541851E-2</v>
      </c>
      <c r="AS52" s="14">
        <f t="shared" si="20"/>
        <v>78.673271290890128</v>
      </c>
      <c r="AT52" s="14">
        <f>Assumptions!$B$21*O52/100</f>
        <v>18.745896089882081</v>
      </c>
      <c r="AU52" s="14">
        <f>Assumptions!$B$21*P52/100</f>
        <v>31.165603835286458</v>
      </c>
      <c r="AV52" s="18">
        <f>H52/(K52*Assumptions!$B$9)</f>
        <v>1.3565536107254696</v>
      </c>
      <c r="AW52" s="18">
        <f t="shared" si="21"/>
        <v>7.5353938004229126E-2</v>
      </c>
    </row>
    <row r="53" spans="1:49" x14ac:dyDescent="0.2">
      <c r="A53" s="16">
        <v>256</v>
      </c>
      <c r="B53" s="16">
        <v>5120</v>
      </c>
      <c r="C53" s="16">
        <v>10</v>
      </c>
      <c r="D53" s="16">
        <v>100</v>
      </c>
      <c r="E53" s="16">
        <v>332</v>
      </c>
      <c r="F53" s="17">
        <v>91.564303071354502</v>
      </c>
      <c r="G53" s="14">
        <v>51.580111870288299</v>
      </c>
      <c r="H53" s="17">
        <v>1561.6580849290101</v>
      </c>
      <c r="I53" s="14">
        <v>98</v>
      </c>
      <c r="J53" s="16">
        <v>100</v>
      </c>
      <c r="K53" s="14">
        <v>282.39999999999998</v>
      </c>
      <c r="L53" s="14">
        <v>326.60000000000002</v>
      </c>
      <c r="M53" s="13">
        <v>87185</v>
      </c>
      <c r="N53" s="13">
        <v>87185</v>
      </c>
      <c r="O53" s="14">
        <v>27.514705882352999</v>
      </c>
      <c r="P53" s="14">
        <v>46.2</v>
      </c>
      <c r="Q53" s="18">
        <v>0.98050151515151496</v>
      </c>
      <c r="R53" s="18">
        <v>1</v>
      </c>
      <c r="S53" s="18">
        <v>0.45445303030303003</v>
      </c>
      <c r="T53" s="18">
        <v>0.57799999999999996</v>
      </c>
      <c r="U53" s="18">
        <v>3.3890909090908999E-2</v>
      </c>
      <c r="V53" s="18">
        <v>5.2999999999999999E-2</v>
      </c>
      <c r="W53" s="18">
        <v>0.135456060606061</v>
      </c>
      <c r="X53" s="18">
        <v>0.16800000000000001</v>
      </c>
      <c r="Y53" s="18">
        <v>0.46135303030302999</v>
      </c>
      <c r="Z53" s="18">
        <v>0.57899999999999996</v>
      </c>
      <c r="AA53" s="13">
        <v>9469057469.2439404</v>
      </c>
      <c r="AB53" s="13">
        <v>13806929789</v>
      </c>
      <c r="AC53" s="13">
        <v>8303847458.9166698</v>
      </c>
      <c r="AD53" s="13">
        <v>12291892591</v>
      </c>
      <c r="AE53" s="13">
        <f t="shared" si="11"/>
        <v>5376</v>
      </c>
      <c r="AF53" s="14">
        <f t="shared" si="12"/>
        <v>10</v>
      </c>
      <c r="AG53" s="14">
        <f t="shared" si="13"/>
        <v>322</v>
      </c>
      <c r="AH53" s="19">
        <f t="shared" si="14"/>
        <v>0.30120481927710846</v>
      </c>
      <c r="AI53" s="19">
        <f t="shared" si="15"/>
        <v>9.4690574692439409</v>
      </c>
      <c r="AJ53" s="19">
        <f t="shared" si="16"/>
        <v>13.806929789</v>
      </c>
      <c r="AK53" s="19">
        <f t="shared" si="17"/>
        <v>8.3038474589166693</v>
      </c>
      <c r="AL53" s="19">
        <f t="shared" si="18"/>
        <v>12.291892591</v>
      </c>
      <c r="AM53" s="20">
        <f>AI53/Assumptions!$B$13</f>
        <v>0.15030249951180857</v>
      </c>
      <c r="AN53" s="20">
        <f>AK53/Assumptions!$B$13</f>
        <v>0.13180710252248681</v>
      </c>
      <c r="AO53" s="19">
        <f t="shared" si="19"/>
        <v>6.0634639301818645</v>
      </c>
      <c r="AP53" s="17">
        <f>H53*Assumptions!$B$16/1000000000000</f>
        <v>218.6321318900614</v>
      </c>
      <c r="AQ53" s="14">
        <f>AP53/Assumptions!$B$9</f>
        <v>54.65803297251535</v>
      </c>
      <c r="AR53" s="20">
        <f>AQ53/Assumptions!$B$11</f>
        <v>5.4658032972515348E-2</v>
      </c>
      <c r="AS53" s="14">
        <f t="shared" si="20"/>
        <v>80.550498723778531</v>
      </c>
      <c r="AT53" s="14">
        <f>Assumptions!$B$21*O53/100</f>
        <v>18.763947990674822</v>
      </c>
      <c r="AU53" s="14">
        <f>Assumptions!$B$21*P53/100</f>
        <v>31.506584183593748</v>
      </c>
      <c r="AV53" s="18">
        <f>H53/(K53*Assumptions!$B$9)</f>
        <v>1.3824876814173248</v>
      </c>
      <c r="AW53" s="18">
        <f t="shared" si="21"/>
        <v>7.4575163616601881E-2</v>
      </c>
    </row>
    <row r="54" spans="1:49" x14ac:dyDescent="0.2">
      <c r="A54" s="16">
        <v>256</v>
      </c>
      <c r="B54" s="16">
        <v>5120</v>
      </c>
      <c r="C54" s="16">
        <v>20</v>
      </c>
      <c r="D54" s="16">
        <v>100</v>
      </c>
      <c r="E54" s="16">
        <v>330</v>
      </c>
      <c r="F54" s="17">
        <v>91.818503098329501</v>
      </c>
      <c r="G54" s="14">
        <v>51.619872146101301</v>
      </c>
      <c r="H54" s="17">
        <v>1574.77780291723</v>
      </c>
      <c r="I54" s="14">
        <v>98</v>
      </c>
      <c r="J54" s="16">
        <v>100</v>
      </c>
      <c r="K54" s="14">
        <v>282.5</v>
      </c>
      <c r="L54" s="14">
        <v>327.2</v>
      </c>
      <c r="M54" s="13">
        <v>87185</v>
      </c>
      <c r="N54" s="13">
        <v>87185</v>
      </c>
      <c r="O54" s="14">
        <v>28.354545454545502</v>
      </c>
      <c r="P54" s="14">
        <v>46.3</v>
      </c>
      <c r="Q54" s="18">
        <v>0.97882621951219495</v>
      </c>
      <c r="R54" s="18">
        <v>0.997</v>
      </c>
      <c r="S54" s="18">
        <v>0.45400457317073201</v>
      </c>
      <c r="T54" s="18">
        <v>0.57899999999999996</v>
      </c>
      <c r="U54" s="18">
        <v>3.3829268292682901E-2</v>
      </c>
      <c r="V54" s="18">
        <v>5.5E-2</v>
      </c>
      <c r="W54" s="18">
        <v>0.135420731707317</v>
      </c>
      <c r="X54" s="18">
        <v>0.16900000000000001</v>
      </c>
      <c r="Y54" s="18">
        <v>0.46142073170731701</v>
      </c>
      <c r="Z54" s="18">
        <v>0.59499999999999997</v>
      </c>
      <c r="AA54" s="13">
        <v>9442774546.12957</v>
      </c>
      <c r="AB54" s="13">
        <v>13258901866</v>
      </c>
      <c r="AC54" s="13">
        <v>8279266970.4908504</v>
      </c>
      <c r="AD54" s="13">
        <v>11607143788</v>
      </c>
      <c r="AE54" s="13">
        <f t="shared" si="11"/>
        <v>5376</v>
      </c>
      <c r="AF54" s="14">
        <f t="shared" si="12"/>
        <v>5</v>
      </c>
      <c r="AG54" s="14">
        <f t="shared" si="13"/>
        <v>325</v>
      </c>
      <c r="AH54" s="19">
        <f t="shared" si="14"/>
        <v>0.30303030303030304</v>
      </c>
      <c r="AI54" s="19">
        <f t="shared" si="15"/>
        <v>9.44277454612957</v>
      </c>
      <c r="AJ54" s="19">
        <f t="shared" si="16"/>
        <v>13.258901866</v>
      </c>
      <c r="AK54" s="19">
        <f t="shared" si="17"/>
        <v>8.2792669704908501</v>
      </c>
      <c r="AL54" s="19">
        <f t="shared" si="18"/>
        <v>11.607143788</v>
      </c>
      <c r="AM54" s="20">
        <f>AI54/Assumptions!$B$13</f>
        <v>0.14988531025602492</v>
      </c>
      <c r="AN54" s="20">
        <f>AK54/Assumptions!$B$13</f>
        <v>0.1314169360395373</v>
      </c>
      <c r="AO54" s="19">
        <f t="shared" si="19"/>
        <v>5.9962583474551812</v>
      </c>
      <c r="AP54" s="17">
        <f>H54*Assumptions!$B$16/1000000000000</f>
        <v>220.46889240841219</v>
      </c>
      <c r="AQ54" s="14">
        <f>AP54/Assumptions!$B$9</f>
        <v>55.117223102103047</v>
      </c>
      <c r="AR54" s="20">
        <f>AQ54/Assumptions!$B$11</f>
        <v>5.5117223102103048E-2</v>
      </c>
      <c r="AS54" s="14">
        <f t="shared" si="20"/>
        <v>81.289828845105731</v>
      </c>
      <c r="AT54" s="14">
        <f>Assumptions!$B$21*O54/100</f>
        <v>19.336685570371714</v>
      </c>
      <c r="AU54" s="14">
        <f>Assumptions!$B$21*P54/100</f>
        <v>31.574780253255202</v>
      </c>
      <c r="AV54" s="18">
        <f>H54/(K54*Assumptions!$B$9)</f>
        <v>1.3936086751479912</v>
      </c>
      <c r="AW54" s="18">
        <f t="shared" si="21"/>
        <v>7.4513056237345734E-2</v>
      </c>
    </row>
    <row r="55" spans="1:49" x14ac:dyDescent="0.2">
      <c r="A55" s="16">
        <v>256</v>
      </c>
      <c r="B55" s="16">
        <v>5120</v>
      </c>
      <c r="C55" s="16">
        <v>50</v>
      </c>
      <c r="D55" s="16">
        <v>100</v>
      </c>
      <c r="E55" s="16">
        <v>328</v>
      </c>
      <c r="F55" s="17">
        <v>93.876168480492197</v>
      </c>
      <c r="G55" s="14">
        <v>51.647114351606</v>
      </c>
      <c r="H55" s="17">
        <v>1582.42527487591</v>
      </c>
      <c r="I55" s="14">
        <v>98</v>
      </c>
      <c r="J55" s="16">
        <v>100</v>
      </c>
      <c r="K55" s="14">
        <v>282.89999999999998</v>
      </c>
      <c r="L55" s="14">
        <v>326.3</v>
      </c>
      <c r="M55" s="13">
        <v>87185</v>
      </c>
      <c r="N55" s="13">
        <v>87185</v>
      </c>
      <c r="O55" s="14">
        <v>28.266666666666701</v>
      </c>
      <c r="P55" s="14">
        <v>46.1</v>
      </c>
      <c r="Q55" s="18">
        <v>0.98060276073619601</v>
      </c>
      <c r="R55" s="18">
        <v>1</v>
      </c>
      <c r="S55" s="18">
        <v>0.45371472392638001</v>
      </c>
      <c r="T55" s="18">
        <v>0.57799999999999996</v>
      </c>
      <c r="U55" s="18">
        <v>3.3773006134969301E-2</v>
      </c>
      <c r="V55" s="18">
        <v>5.5E-2</v>
      </c>
      <c r="W55" s="18">
        <v>0.13548006134969301</v>
      </c>
      <c r="X55" s="18">
        <v>0.16800000000000001</v>
      </c>
      <c r="Y55" s="18">
        <v>0.46151226993865002</v>
      </c>
      <c r="Z55" s="18">
        <v>0.59299999999999997</v>
      </c>
      <c r="AA55" s="13">
        <v>9462659772.2116604</v>
      </c>
      <c r="AB55" s="13">
        <v>13372293130</v>
      </c>
      <c r="AC55" s="13">
        <v>8296303996.7545996</v>
      </c>
      <c r="AD55" s="13">
        <v>11706106456</v>
      </c>
      <c r="AE55" s="13">
        <f t="shared" si="11"/>
        <v>5376</v>
      </c>
      <c r="AF55" s="14">
        <f t="shared" si="12"/>
        <v>2</v>
      </c>
      <c r="AG55" s="14">
        <f t="shared" si="13"/>
        <v>326</v>
      </c>
      <c r="AH55" s="19">
        <f t="shared" si="14"/>
        <v>0.3048780487804878</v>
      </c>
      <c r="AI55" s="19">
        <f t="shared" si="15"/>
        <v>9.4626597722116603</v>
      </c>
      <c r="AJ55" s="19">
        <f t="shared" si="16"/>
        <v>13.372293129999999</v>
      </c>
      <c r="AK55" s="19">
        <f t="shared" si="17"/>
        <v>8.2963039967545988</v>
      </c>
      <c r="AL55" s="19">
        <f t="shared" si="18"/>
        <v>11.706106456000001</v>
      </c>
      <c r="AM55" s="20">
        <f>AI55/Assumptions!$B$13</f>
        <v>0.15020094876526444</v>
      </c>
      <c r="AN55" s="20">
        <f>AK55/Assumptions!$B$13</f>
        <v>0.13168736502785078</v>
      </c>
      <c r="AO55" s="19">
        <f t="shared" si="19"/>
        <v>5.9798462034510278</v>
      </c>
      <c r="AP55" s="17">
        <f>H55*Assumptions!$B$16/1000000000000</f>
        <v>221.53953848262739</v>
      </c>
      <c r="AQ55" s="14">
        <f>AP55/Assumptions!$B$9</f>
        <v>55.384884620656848</v>
      </c>
      <c r="AR55" s="20">
        <f>AQ55/Assumptions!$B$11</f>
        <v>5.5384884620656848E-2</v>
      </c>
      <c r="AS55" s="14">
        <f t="shared" si="20"/>
        <v>81.727699124387684</v>
      </c>
      <c r="AT55" s="14">
        <f>Assumptions!$B$21*O55/100</f>
        <v>19.276755690972244</v>
      </c>
      <c r="AU55" s="14">
        <f>Assumptions!$B$21*P55/100</f>
        <v>31.438388113932287</v>
      </c>
      <c r="AV55" s="18">
        <f>H55/(K55*Assumptions!$B$9)</f>
        <v>1.3983963192611435</v>
      </c>
      <c r="AW55" s="18">
        <f t="shared" si="21"/>
        <v>7.4436654474650296E-2</v>
      </c>
    </row>
    <row r="56" spans="1:49" x14ac:dyDescent="0.2">
      <c r="A56" s="16">
        <v>256</v>
      </c>
      <c r="B56" s="16">
        <v>5120</v>
      </c>
      <c r="C56" s="16">
        <v>100</v>
      </c>
      <c r="D56" s="16">
        <v>100</v>
      </c>
      <c r="E56" s="16">
        <v>328</v>
      </c>
      <c r="F56" s="17">
        <v>101.788790402934</v>
      </c>
      <c r="G56" s="14">
        <v>51.6980711936285</v>
      </c>
      <c r="H56" s="17">
        <v>1583.6834151534499</v>
      </c>
      <c r="I56" s="14">
        <v>98</v>
      </c>
      <c r="J56" s="16">
        <v>100</v>
      </c>
      <c r="K56" s="14">
        <v>282.3</v>
      </c>
      <c r="L56" s="14">
        <v>325.60000000000002</v>
      </c>
      <c r="M56" s="13">
        <v>87185</v>
      </c>
      <c r="N56" s="13">
        <v>87185</v>
      </c>
      <c r="O56" s="14">
        <v>29.1</v>
      </c>
      <c r="P56" s="14">
        <v>46.9</v>
      </c>
      <c r="Q56" s="18">
        <v>0.97913957055214695</v>
      </c>
      <c r="R56" s="18">
        <v>0.997</v>
      </c>
      <c r="S56" s="18">
        <v>0.45333895705521499</v>
      </c>
      <c r="T56" s="18">
        <v>0.57799999999999996</v>
      </c>
      <c r="U56" s="18">
        <v>3.3700920245398697E-2</v>
      </c>
      <c r="V56" s="18">
        <v>5.5E-2</v>
      </c>
      <c r="W56" s="18">
        <v>0.13504294478527601</v>
      </c>
      <c r="X56" s="18">
        <v>0.17</v>
      </c>
      <c r="Y56" s="18">
        <v>0.46044631901840499</v>
      </c>
      <c r="Z56" s="18">
        <v>0.57899999999999996</v>
      </c>
      <c r="AA56" s="13">
        <v>9457493438.4248505</v>
      </c>
      <c r="AB56" s="13">
        <v>13275717214</v>
      </c>
      <c r="AC56" s="13">
        <v>8289023791.5659504</v>
      </c>
      <c r="AD56" s="13">
        <v>11622039760</v>
      </c>
      <c r="AE56" s="13">
        <f t="shared" si="11"/>
        <v>5376</v>
      </c>
      <c r="AF56" s="14">
        <f t="shared" si="12"/>
        <v>1</v>
      </c>
      <c r="AG56" s="14">
        <f t="shared" si="13"/>
        <v>327</v>
      </c>
      <c r="AH56" s="19">
        <f t="shared" si="14"/>
        <v>0.3048780487804878</v>
      </c>
      <c r="AI56" s="19">
        <f t="shared" si="15"/>
        <v>9.4574934384248497</v>
      </c>
      <c r="AJ56" s="19">
        <f t="shared" si="16"/>
        <v>13.275717214</v>
      </c>
      <c r="AK56" s="19">
        <f t="shared" si="17"/>
        <v>8.2890237915659508</v>
      </c>
      <c r="AL56" s="19">
        <f t="shared" si="18"/>
        <v>11.62203976</v>
      </c>
      <c r="AM56" s="20">
        <f>AI56/Assumptions!$B$13</f>
        <v>0.15011894346706112</v>
      </c>
      <c r="AN56" s="20">
        <f>AK56/Assumptions!$B$13</f>
        <v>0.13157180621533254</v>
      </c>
      <c r="AO56" s="19">
        <f t="shared" si="19"/>
        <v>5.9718333525065512</v>
      </c>
      <c r="AP56" s="17">
        <f>H56*Assumptions!$B$16/1000000000000</f>
        <v>221.71567812148299</v>
      </c>
      <c r="AQ56" s="14">
        <f>AP56/Assumptions!$B$9</f>
        <v>55.428919530370749</v>
      </c>
      <c r="AR56" s="20">
        <f>AQ56/Assumptions!$B$11</f>
        <v>5.5428919530370747E-2</v>
      </c>
      <c r="AS56" s="14">
        <f t="shared" si="20"/>
        <v>81.873377944771761</v>
      </c>
      <c r="AT56" s="14">
        <f>Assumptions!$B$21*O56/100</f>
        <v>19.845056271484374</v>
      </c>
      <c r="AU56" s="14">
        <f>Assumptions!$B$21*P56/100</f>
        <v>31.983956671223954</v>
      </c>
      <c r="AV56" s="18">
        <f>H56/(K56*Assumptions!$B$9)</f>
        <v>1.40248265599845</v>
      </c>
      <c r="AW56" s="18">
        <f t="shared" si="21"/>
        <v>7.4339343047665873E-2</v>
      </c>
    </row>
    <row r="57" spans="1:49" x14ac:dyDescent="0.2">
      <c r="A57" s="16">
        <v>256</v>
      </c>
      <c r="B57" s="16">
        <v>10240</v>
      </c>
      <c r="C57" s="16">
        <v>5</v>
      </c>
      <c r="D57" s="16">
        <v>100</v>
      </c>
      <c r="E57" s="16">
        <v>810</v>
      </c>
      <c r="F57" s="17">
        <v>131.38473483035301</v>
      </c>
      <c r="G57" s="14">
        <v>63.462091175560097</v>
      </c>
      <c r="H57" s="17">
        <v>1271.4129667089101</v>
      </c>
      <c r="I57" s="14">
        <v>98.7</v>
      </c>
      <c r="J57" s="16">
        <v>100</v>
      </c>
      <c r="K57" s="14">
        <v>305.2</v>
      </c>
      <c r="L57" s="14">
        <v>349.7</v>
      </c>
      <c r="M57" s="13">
        <v>87185</v>
      </c>
      <c r="N57" s="13">
        <v>87185</v>
      </c>
      <c r="O57" s="14">
        <v>55.374390243902397</v>
      </c>
      <c r="P57" s="14">
        <v>89.3</v>
      </c>
      <c r="Q57" s="18">
        <v>0.98784962871287096</v>
      </c>
      <c r="R57" s="18">
        <v>1</v>
      </c>
      <c r="S57" s="18">
        <v>0.54259034653465299</v>
      </c>
      <c r="T57" s="18">
        <v>0.67100000000000004</v>
      </c>
      <c r="U57" s="18">
        <v>3.8473391089108903E-2</v>
      </c>
      <c r="V57" s="18">
        <v>5.5E-2</v>
      </c>
      <c r="W57" s="18">
        <v>0.14862561881188099</v>
      </c>
      <c r="X57" s="18">
        <v>0.18</v>
      </c>
      <c r="Y57" s="18">
        <v>0.54785086633663405</v>
      </c>
      <c r="Z57" s="18">
        <v>0.68300000000000005</v>
      </c>
      <c r="AA57" s="13">
        <v>7823722669.5668297</v>
      </c>
      <c r="AB57" s="13">
        <v>16460043379</v>
      </c>
      <c r="AC57" s="13">
        <v>6859377685.8186903</v>
      </c>
      <c r="AD57" s="13">
        <v>14526395175</v>
      </c>
      <c r="AE57" s="13">
        <f t="shared" si="11"/>
        <v>10496</v>
      </c>
      <c r="AF57" s="14">
        <f t="shared" si="12"/>
        <v>20</v>
      </c>
      <c r="AG57" s="14">
        <f t="shared" si="13"/>
        <v>790</v>
      </c>
      <c r="AH57" s="19">
        <f t="shared" si="14"/>
        <v>0.12345679012345678</v>
      </c>
      <c r="AI57" s="19">
        <f t="shared" si="15"/>
        <v>7.8237226695668296</v>
      </c>
      <c r="AJ57" s="19">
        <f t="shared" si="16"/>
        <v>16.460043378999998</v>
      </c>
      <c r="AK57" s="19">
        <f t="shared" si="17"/>
        <v>6.8593776858186901</v>
      </c>
      <c r="AL57" s="19">
        <f t="shared" si="18"/>
        <v>14.526395174999999</v>
      </c>
      <c r="AM57" s="20">
        <f>AI57/Assumptions!$B$13</f>
        <v>0.1241860741201084</v>
      </c>
      <c r="AN57" s="20">
        <f>AK57/Assumptions!$B$13</f>
        <v>0.10887901088601096</v>
      </c>
      <c r="AO57" s="19">
        <f t="shared" si="19"/>
        <v>6.1535652651229178</v>
      </c>
      <c r="AP57" s="17">
        <f>H57*Assumptions!$B$16/1000000000000</f>
        <v>177.99781533924741</v>
      </c>
      <c r="AQ57" s="14">
        <f>AP57/Assumptions!$B$9</f>
        <v>44.499453834811852</v>
      </c>
      <c r="AR57" s="20">
        <f>AQ57/Assumptions!$B$11</f>
        <v>4.4499453834811853E-2</v>
      </c>
      <c r="AS57" s="14">
        <f t="shared" si="20"/>
        <v>80.686525615070209</v>
      </c>
      <c r="AT57" s="14">
        <f>Assumptions!$B$21*O57/100</f>
        <v>37.763157745339456</v>
      </c>
      <c r="AU57" s="14">
        <f>Assumptions!$B$21*P57/100</f>
        <v>60.899090207682285</v>
      </c>
      <c r="AV57" s="18">
        <f>H57/(K57*Assumptions!$B$9)</f>
        <v>1.0414588521534323</v>
      </c>
      <c r="AW57" s="18">
        <f t="shared" si="21"/>
        <v>7.0906884604243076E-2</v>
      </c>
    </row>
    <row r="58" spans="1:49" x14ac:dyDescent="0.2">
      <c r="A58" s="16">
        <v>256</v>
      </c>
      <c r="B58" s="16">
        <v>10240</v>
      </c>
      <c r="C58" s="16">
        <v>10</v>
      </c>
      <c r="D58" s="16">
        <v>100</v>
      </c>
      <c r="E58" s="16">
        <v>802</v>
      </c>
      <c r="F58" s="17">
        <v>114.50621680531199</v>
      </c>
      <c r="G58" s="14">
        <v>63.438497250724403</v>
      </c>
      <c r="H58" s="17">
        <v>1281.1993647719901</v>
      </c>
      <c r="I58" s="14">
        <v>98.9</v>
      </c>
      <c r="J58" s="16">
        <v>100</v>
      </c>
      <c r="K58" s="14">
        <v>306</v>
      </c>
      <c r="L58" s="14">
        <v>349</v>
      </c>
      <c r="M58" s="13">
        <v>87185</v>
      </c>
      <c r="N58" s="13">
        <v>87185</v>
      </c>
      <c r="O58" s="14">
        <v>57.424050632911403</v>
      </c>
      <c r="P58" s="14">
        <v>90.8</v>
      </c>
      <c r="Q58" s="18">
        <v>0.98882499999999995</v>
      </c>
      <c r="R58" s="18">
        <v>1</v>
      </c>
      <c r="S58" s="18">
        <v>0.54404687500000004</v>
      </c>
      <c r="T58" s="18">
        <v>0.66900000000000004</v>
      </c>
      <c r="U58" s="18">
        <v>3.85425E-2</v>
      </c>
      <c r="V58" s="18">
        <v>5.5E-2</v>
      </c>
      <c r="W58" s="18">
        <v>0.14880312500000001</v>
      </c>
      <c r="X58" s="18">
        <v>0.17899999999999999</v>
      </c>
      <c r="Y58" s="18">
        <v>0.55062750000000005</v>
      </c>
      <c r="Z58" s="18">
        <v>0.68100000000000005</v>
      </c>
      <c r="AA58" s="13">
        <v>7775591456.4906301</v>
      </c>
      <c r="AB58" s="13">
        <v>16238818366</v>
      </c>
      <c r="AC58" s="13">
        <v>6818607919.5606298</v>
      </c>
      <c r="AD58" s="13">
        <v>14350733824</v>
      </c>
      <c r="AE58" s="13">
        <f t="shared" si="11"/>
        <v>10496</v>
      </c>
      <c r="AF58" s="14">
        <f t="shared" si="12"/>
        <v>10</v>
      </c>
      <c r="AG58" s="14">
        <f t="shared" si="13"/>
        <v>792</v>
      </c>
      <c r="AH58" s="19">
        <f t="shared" si="14"/>
        <v>0.12468827930174564</v>
      </c>
      <c r="AI58" s="19">
        <f t="shared" si="15"/>
        <v>7.7755914564906305</v>
      </c>
      <c r="AJ58" s="19">
        <f t="shared" si="16"/>
        <v>16.238818366</v>
      </c>
      <c r="AK58" s="19">
        <f t="shared" si="17"/>
        <v>6.8186079195606295</v>
      </c>
      <c r="AL58" s="19">
        <f t="shared" si="18"/>
        <v>14.350733824000001</v>
      </c>
      <c r="AM58" s="20">
        <f>AI58/Assumptions!$B$13</f>
        <v>0.12342208661096239</v>
      </c>
      <c r="AN58" s="20">
        <f>AK58/Assumptions!$B$13</f>
        <v>0.10823187173905761</v>
      </c>
      <c r="AO58" s="19">
        <f t="shared" si="19"/>
        <v>6.0689941552339288</v>
      </c>
      <c r="AP58" s="17">
        <f>H58*Assumptions!$B$16/1000000000000</f>
        <v>179.36791106807863</v>
      </c>
      <c r="AQ58" s="14">
        <f>AP58/Assumptions!$B$9</f>
        <v>44.841977767019657</v>
      </c>
      <c r="AR58" s="20">
        <f>AQ58/Assumptions!$B$11</f>
        <v>4.4841977767019654E-2</v>
      </c>
      <c r="AS58" s="14">
        <f t="shared" si="20"/>
        <v>81.277362379717744</v>
      </c>
      <c r="AT58" s="14">
        <f>Assumptions!$B$21*O58/100</f>
        <v>39.160945572051361</v>
      </c>
      <c r="AU58" s="14">
        <f>Assumptions!$B$21*P58/100</f>
        <v>61.922031252604157</v>
      </c>
      <c r="AV58" s="18">
        <f>H58/(K58*Assumptions!$B$9)</f>
        <v>1.0467315071666585</v>
      </c>
      <c r="AW58" s="18">
        <f t="shared" si="21"/>
        <v>7.0844079381946631E-2</v>
      </c>
    </row>
    <row r="59" spans="1:49" x14ac:dyDescent="0.2">
      <c r="A59" s="16">
        <v>256</v>
      </c>
      <c r="B59" s="16">
        <v>10240</v>
      </c>
      <c r="C59" s="16">
        <v>20</v>
      </c>
      <c r="D59" s="16">
        <v>100</v>
      </c>
      <c r="E59" s="16">
        <v>800</v>
      </c>
      <c r="F59" s="17">
        <v>129.56261589599299</v>
      </c>
      <c r="G59" s="14">
        <v>63.488267196029099</v>
      </c>
      <c r="H59" s="17">
        <v>1284.75496817828</v>
      </c>
      <c r="I59" s="14">
        <v>98.9</v>
      </c>
      <c r="J59" s="16">
        <v>100</v>
      </c>
      <c r="K59" s="14">
        <v>303.10000000000002</v>
      </c>
      <c r="L59" s="14">
        <v>345.3</v>
      </c>
      <c r="M59" s="13">
        <v>87185</v>
      </c>
      <c r="N59" s="13">
        <v>87185</v>
      </c>
      <c r="O59" s="14">
        <v>57.535443037974701</v>
      </c>
      <c r="P59" s="14">
        <v>90.3</v>
      </c>
      <c r="Q59" s="18">
        <v>0.98869110275689198</v>
      </c>
      <c r="R59" s="18">
        <v>1</v>
      </c>
      <c r="S59" s="18">
        <v>0.543512531328321</v>
      </c>
      <c r="T59" s="18">
        <v>0.67200000000000004</v>
      </c>
      <c r="U59" s="18">
        <v>3.8471177944862101E-2</v>
      </c>
      <c r="V59" s="18">
        <v>5.5E-2</v>
      </c>
      <c r="W59" s="18">
        <v>0.148737468671679</v>
      </c>
      <c r="X59" s="18">
        <v>0.186</v>
      </c>
      <c r="Y59" s="18">
        <v>0.55021115288220601</v>
      </c>
      <c r="Z59" s="18">
        <v>0.67700000000000005</v>
      </c>
      <c r="AA59" s="13">
        <v>7772730022.7130299</v>
      </c>
      <c r="AB59" s="13">
        <v>16239302537</v>
      </c>
      <c r="AC59" s="13">
        <v>6816544201.0206804</v>
      </c>
      <c r="AD59" s="13">
        <v>14302500649</v>
      </c>
      <c r="AE59" s="13">
        <f t="shared" si="11"/>
        <v>10496</v>
      </c>
      <c r="AF59" s="14">
        <f t="shared" si="12"/>
        <v>5</v>
      </c>
      <c r="AG59" s="14">
        <f t="shared" si="13"/>
        <v>795</v>
      </c>
      <c r="AH59" s="19">
        <f t="shared" si="14"/>
        <v>0.125</v>
      </c>
      <c r="AI59" s="19">
        <f t="shared" si="15"/>
        <v>7.7727300227130298</v>
      </c>
      <c r="AJ59" s="19">
        <f t="shared" si="16"/>
        <v>16.239302537</v>
      </c>
      <c r="AK59" s="19">
        <f t="shared" si="17"/>
        <v>6.8165442010206805</v>
      </c>
      <c r="AL59" s="19">
        <f t="shared" si="18"/>
        <v>14.302500649000001</v>
      </c>
      <c r="AM59" s="20">
        <f>AI59/Assumptions!$B$13</f>
        <v>0.12337666702719095</v>
      </c>
      <c r="AN59" s="20">
        <f>AK59/Assumptions!$B$13</f>
        <v>0.10819911430191556</v>
      </c>
      <c r="AO59" s="19">
        <f t="shared" si="19"/>
        <v>6.0499707844947137</v>
      </c>
      <c r="AP59" s="17">
        <f>H59*Assumptions!$B$16/1000000000000</f>
        <v>179.86569554495921</v>
      </c>
      <c r="AQ59" s="14">
        <f>AP59/Assumptions!$B$9</f>
        <v>44.966423886239802</v>
      </c>
      <c r="AR59" s="20">
        <f>AQ59/Assumptions!$B$11</f>
        <v>4.4966423886239802E-2</v>
      </c>
      <c r="AS59" s="14">
        <f t="shared" si="20"/>
        <v>81.566866701128504</v>
      </c>
      <c r="AT59" s="14">
        <f>Assumptions!$B$21*O59/100</f>
        <v>39.236910814205906</v>
      </c>
      <c r="AU59" s="14">
        <f>Assumptions!$B$21*P59/100</f>
        <v>61.581050904296859</v>
      </c>
      <c r="AV59" s="18">
        <f>H59/(K59*Assumptions!$B$9)</f>
        <v>1.0596791225488946</v>
      </c>
      <c r="AW59" s="18">
        <f t="shared" si="21"/>
        <v>7.0782504040597216E-2</v>
      </c>
    </row>
    <row r="60" spans="1:49" x14ac:dyDescent="0.2">
      <c r="A60" s="16">
        <v>256</v>
      </c>
      <c r="B60" s="16">
        <v>10240</v>
      </c>
      <c r="C60" s="16">
        <v>50</v>
      </c>
      <c r="D60" s="16">
        <v>100</v>
      </c>
      <c r="E60" s="16">
        <v>799</v>
      </c>
      <c r="F60" s="17">
        <v>201.11119848268601</v>
      </c>
      <c r="G60" s="14">
        <v>63.575679084140198</v>
      </c>
      <c r="H60" s="17">
        <v>1285.93431793491</v>
      </c>
      <c r="I60" s="14">
        <v>98.9</v>
      </c>
      <c r="J60" s="16">
        <v>100</v>
      </c>
      <c r="K60" s="14">
        <v>301.3</v>
      </c>
      <c r="L60" s="14">
        <v>348.5</v>
      </c>
      <c r="M60" s="13">
        <v>87185</v>
      </c>
      <c r="N60" s="13">
        <v>87185</v>
      </c>
      <c r="O60" s="14">
        <v>56.698749999999997</v>
      </c>
      <c r="P60" s="14">
        <v>90.6</v>
      </c>
      <c r="Q60" s="18">
        <v>0.98943796992481203</v>
      </c>
      <c r="R60" s="18">
        <v>1</v>
      </c>
      <c r="S60" s="18">
        <v>0.54338721804511303</v>
      </c>
      <c r="T60" s="18">
        <v>0.67100000000000004</v>
      </c>
      <c r="U60" s="18">
        <v>3.84987468671679E-2</v>
      </c>
      <c r="V60" s="18">
        <v>5.5E-2</v>
      </c>
      <c r="W60" s="18">
        <v>0.14880137844611499</v>
      </c>
      <c r="X60" s="18">
        <v>0.224</v>
      </c>
      <c r="Y60" s="18">
        <v>0.55033959899749396</v>
      </c>
      <c r="Z60" s="18">
        <v>0.68200000000000005</v>
      </c>
      <c r="AA60" s="13">
        <v>7762006974.8584003</v>
      </c>
      <c r="AB60" s="13">
        <v>22219694904</v>
      </c>
      <c r="AC60" s="13">
        <v>6806954047.8527603</v>
      </c>
      <c r="AD60" s="13">
        <v>19476237525</v>
      </c>
      <c r="AE60" s="13">
        <f t="shared" si="11"/>
        <v>10496</v>
      </c>
      <c r="AF60" s="14">
        <f t="shared" si="12"/>
        <v>2</v>
      </c>
      <c r="AG60" s="14">
        <f t="shared" si="13"/>
        <v>797</v>
      </c>
      <c r="AH60" s="19">
        <f t="shared" si="14"/>
        <v>0.12515644555694619</v>
      </c>
      <c r="AI60" s="19">
        <f t="shared" si="15"/>
        <v>7.7620069748584006</v>
      </c>
      <c r="AJ60" s="19">
        <f t="shared" si="16"/>
        <v>22.219694904000001</v>
      </c>
      <c r="AK60" s="19">
        <f t="shared" si="17"/>
        <v>6.8069540478527601</v>
      </c>
      <c r="AL60" s="19">
        <f t="shared" si="18"/>
        <v>19.476237524999998</v>
      </c>
      <c r="AM60" s="20">
        <f>AI60/Assumptions!$B$13</f>
        <v>0.12320645991838731</v>
      </c>
      <c r="AN60" s="20">
        <f>AK60/Assumptions!$B$13</f>
        <v>0.1080468896484565</v>
      </c>
      <c r="AO60" s="19">
        <f t="shared" si="19"/>
        <v>6.0360835437718592</v>
      </c>
      <c r="AP60" s="17">
        <f>H60*Assumptions!$B$16/1000000000000</f>
        <v>180.03080451088741</v>
      </c>
      <c r="AQ60" s="14">
        <f>AP60/Assumptions!$B$9</f>
        <v>45.007701127721852</v>
      </c>
      <c r="AR60" s="20">
        <f>AQ60/Assumptions!$B$11</f>
        <v>4.5007701127721851E-2</v>
      </c>
      <c r="AS60" s="14">
        <f t="shared" si="20"/>
        <v>81.754147520312543</v>
      </c>
      <c r="AT60" s="14">
        <f>Assumptions!$B$21*O60/100</f>
        <v>38.666319047176096</v>
      </c>
      <c r="AU60" s="14">
        <f>Assumptions!$B$21*P60/100</f>
        <v>61.785639113281242</v>
      </c>
      <c r="AV60" s="18">
        <f>H60/(K60*Assumptions!$B$9)</f>
        <v>1.0669883155782525</v>
      </c>
      <c r="AW60" s="18">
        <f t="shared" si="21"/>
        <v>7.0849562869128177E-2</v>
      </c>
    </row>
    <row r="61" spans="1:49" x14ac:dyDescent="0.2">
      <c r="A61" s="16">
        <v>256</v>
      </c>
      <c r="B61" s="16">
        <v>10240</v>
      </c>
      <c r="C61" s="16">
        <v>100</v>
      </c>
      <c r="D61" s="16">
        <v>100</v>
      </c>
      <c r="E61" s="16">
        <v>801</v>
      </c>
      <c r="F61" s="17">
        <v>462.22993916773697</v>
      </c>
      <c r="G61" s="14">
        <v>63.700698467898803</v>
      </c>
      <c r="H61" s="17">
        <v>1284.30401033885</v>
      </c>
      <c r="I61" s="14">
        <v>99.2</v>
      </c>
      <c r="J61" s="16">
        <v>100</v>
      </c>
      <c r="K61" s="14">
        <v>301.3</v>
      </c>
      <c r="L61" s="14">
        <v>342.9</v>
      </c>
      <c r="M61" s="13">
        <v>87185</v>
      </c>
      <c r="N61" s="13">
        <v>87185</v>
      </c>
      <c r="O61" s="14">
        <v>57.531645569620302</v>
      </c>
      <c r="P61" s="14">
        <v>90.4</v>
      </c>
      <c r="Q61" s="18">
        <v>0.98986779448621598</v>
      </c>
      <c r="R61" s="18">
        <v>0.998</v>
      </c>
      <c r="S61" s="18">
        <v>0.54422305764411005</v>
      </c>
      <c r="T61" s="18">
        <v>0.67100000000000004</v>
      </c>
      <c r="U61" s="18">
        <v>3.8546992481203003E-2</v>
      </c>
      <c r="V61" s="18">
        <v>5.5E-2</v>
      </c>
      <c r="W61" s="18">
        <v>0.14858270676691701</v>
      </c>
      <c r="X61" s="18">
        <v>0.20599999999999999</v>
      </c>
      <c r="Y61" s="18">
        <v>0.55057080200501296</v>
      </c>
      <c r="Z61" s="18">
        <v>0.68</v>
      </c>
      <c r="AA61" s="13">
        <v>7758219502.5701799</v>
      </c>
      <c r="AB61" s="13">
        <v>22208347320</v>
      </c>
      <c r="AC61" s="13">
        <v>6803653757.7963696</v>
      </c>
      <c r="AD61" s="13">
        <v>19439706953</v>
      </c>
      <c r="AE61" s="13">
        <f t="shared" si="11"/>
        <v>10496</v>
      </c>
      <c r="AF61" s="14">
        <f t="shared" si="12"/>
        <v>1</v>
      </c>
      <c r="AG61" s="14">
        <f t="shared" si="13"/>
        <v>800</v>
      </c>
      <c r="AH61" s="19">
        <f t="shared" si="14"/>
        <v>0.12484394506866417</v>
      </c>
      <c r="AI61" s="19">
        <f t="shared" si="15"/>
        <v>7.7582195025701797</v>
      </c>
      <c r="AJ61" s="19">
        <f t="shared" si="16"/>
        <v>22.208347320000001</v>
      </c>
      <c r="AK61" s="19">
        <f t="shared" si="17"/>
        <v>6.8036537577963694</v>
      </c>
      <c r="AL61" s="19">
        <f t="shared" si="18"/>
        <v>19.439706953000002</v>
      </c>
      <c r="AM61" s="20">
        <f>AI61/Assumptions!$B$13</f>
        <v>0.12314634131063777</v>
      </c>
      <c r="AN61" s="20">
        <f>AK61/Assumptions!$B$13</f>
        <v>0.10799450409200587</v>
      </c>
      <c r="AO61" s="19">
        <f t="shared" si="19"/>
        <v>6.0407967584896474</v>
      </c>
      <c r="AP61" s="17">
        <f>H61*Assumptions!$B$16/1000000000000</f>
        <v>179.80256144743899</v>
      </c>
      <c r="AQ61" s="14">
        <f>AP61/Assumptions!$B$9</f>
        <v>44.950640361859747</v>
      </c>
      <c r="AR61" s="20">
        <f>AQ61/Assumptions!$B$11</f>
        <v>4.4950640361859751E-2</v>
      </c>
      <c r="AS61" s="14">
        <f t="shared" si="20"/>
        <v>81.811062503708285</v>
      </c>
      <c r="AT61" s="14">
        <f>Assumptions!$B$21*O61/100</f>
        <v>39.234321090041561</v>
      </c>
      <c r="AU61" s="14">
        <f>Assumptions!$B$21*P61/100</f>
        <v>61.649246973958327</v>
      </c>
      <c r="AV61" s="18">
        <f>H61/(K61*Assumptions!$B$9)</f>
        <v>1.065635587735521</v>
      </c>
      <c r="AW61" s="18">
        <f t="shared" si="21"/>
        <v>7.0829399709871302E-2</v>
      </c>
    </row>
    <row r="62" spans="1:49" x14ac:dyDescent="0.2">
      <c r="A62" s="16">
        <v>384</v>
      </c>
      <c r="B62" s="16">
        <v>128</v>
      </c>
      <c r="C62" s="16">
        <v>5</v>
      </c>
      <c r="D62" s="16">
        <v>100</v>
      </c>
      <c r="E62" s="16">
        <v>30</v>
      </c>
      <c r="F62" s="17">
        <v>98.982500100391903</v>
      </c>
      <c r="G62" s="14">
        <v>29.406546781442</v>
      </c>
      <c r="H62" s="17">
        <v>530.59350293464604</v>
      </c>
      <c r="I62" s="14">
        <v>79.2</v>
      </c>
      <c r="J62" s="16">
        <v>99</v>
      </c>
      <c r="K62" s="14">
        <v>226.4</v>
      </c>
      <c r="L62" s="14">
        <v>288.60000000000002</v>
      </c>
      <c r="M62" s="13">
        <v>87187</v>
      </c>
      <c r="N62" s="13">
        <v>87187</v>
      </c>
      <c r="O62" s="14">
        <v>0.86666666666666703</v>
      </c>
      <c r="P62" s="14">
        <v>1.4</v>
      </c>
      <c r="Q62" s="18">
        <v>0.80435714285714299</v>
      </c>
      <c r="R62" s="18">
        <v>0.99199999999999999</v>
      </c>
      <c r="S62" s="18">
        <v>0.34987499999999999</v>
      </c>
      <c r="T62" s="18">
        <v>0.48899999999999999</v>
      </c>
      <c r="U62" s="18">
        <v>3.3285714285714203E-2</v>
      </c>
      <c r="V62" s="18">
        <v>4.8000000000000001E-2</v>
      </c>
      <c r="W62" s="18">
        <v>8.3678571428571394E-2</v>
      </c>
      <c r="X62" s="18">
        <v>0.11600000000000001</v>
      </c>
      <c r="Y62" s="18">
        <v>0.32673214285714303</v>
      </c>
      <c r="Z62" s="18">
        <v>0.46600000000000003</v>
      </c>
      <c r="AA62" s="13">
        <v>7778380903.1785698</v>
      </c>
      <c r="AB62" s="13">
        <v>11990456211</v>
      </c>
      <c r="AC62" s="13">
        <v>6923846320.2857103</v>
      </c>
      <c r="AD62" s="13">
        <v>10729047704</v>
      </c>
      <c r="AE62" s="13">
        <f t="shared" si="11"/>
        <v>512</v>
      </c>
      <c r="AF62" s="14">
        <f t="shared" si="12"/>
        <v>20</v>
      </c>
      <c r="AG62" s="14">
        <f t="shared" si="13"/>
        <v>10</v>
      </c>
      <c r="AH62" s="19">
        <f t="shared" si="14"/>
        <v>3.3333333333333335</v>
      </c>
      <c r="AI62" s="19">
        <f t="shared" si="15"/>
        <v>7.7783809031785696</v>
      </c>
      <c r="AJ62" s="19">
        <f t="shared" si="16"/>
        <v>11.990456211</v>
      </c>
      <c r="AK62" s="19">
        <f t="shared" si="17"/>
        <v>6.9238463202857101</v>
      </c>
      <c r="AL62" s="19">
        <f t="shared" si="18"/>
        <v>10.729047703999999</v>
      </c>
      <c r="AM62" s="20">
        <f>AI62/Assumptions!$B$13</f>
        <v>0.12346636354251697</v>
      </c>
      <c r="AN62" s="20">
        <f>AK62/Assumptions!$B$13</f>
        <v>0.10990232254421763</v>
      </c>
      <c r="AO62" s="19">
        <f t="shared" si="19"/>
        <v>14.659774121163041</v>
      </c>
      <c r="AP62" s="17">
        <f>H62*Assumptions!$B$16/1000000000000</f>
        <v>74.283090410850448</v>
      </c>
      <c r="AQ62" s="14">
        <f>AP62/Assumptions!$B$9</f>
        <v>18.570772602712612</v>
      </c>
      <c r="AR62" s="20">
        <f>AQ62/Assumptions!$B$11</f>
        <v>1.8570772602712612E-2</v>
      </c>
      <c r="AS62" s="14">
        <f t="shared" si="20"/>
        <v>15.602922665976852</v>
      </c>
      <c r="AT62" s="14">
        <f>Assumptions!$B$21*O62/100</f>
        <v>0.59103260373263911</v>
      </c>
      <c r="AU62" s="14">
        <f>Assumptions!$B$21*P62/100</f>
        <v>0.95474497526041646</v>
      </c>
      <c r="AV62" s="18">
        <f>H62/(K62*Assumptions!$B$9)</f>
        <v>0.58590271967164975</v>
      </c>
      <c r="AW62" s="18">
        <f t="shared" si="21"/>
        <v>9.5136017965599728E-2</v>
      </c>
    </row>
    <row r="63" spans="1:49" x14ac:dyDescent="0.2">
      <c r="A63" s="16">
        <v>384</v>
      </c>
      <c r="B63" s="16">
        <v>128</v>
      </c>
      <c r="C63" s="16">
        <v>10</v>
      </c>
      <c r="D63" s="16">
        <v>100</v>
      </c>
      <c r="E63" s="16">
        <v>21</v>
      </c>
      <c r="F63" s="17">
        <v>90.4887920990586</v>
      </c>
      <c r="G63" s="14">
        <v>34.305740336545597</v>
      </c>
      <c r="H63" s="17">
        <v>874.04710454204496</v>
      </c>
      <c r="I63" s="14">
        <v>63</v>
      </c>
      <c r="J63" s="16">
        <v>100</v>
      </c>
      <c r="K63" s="14">
        <v>197.8</v>
      </c>
      <c r="L63" s="14">
        <v>289.3</v>
      </c>
      <c r="M63" s="13">
        <v>87187</v>
      </c>
      <c r="N63" s="13">
        <v>87187</v>
      </c>
      <c r="O63" s="14">
        <v>1.35</v>
      </c>
      <c r="P63" s="14">
        <v>2.4</v>
      </c>
      <c r="Q63" s="18">
        <v>0.68807499999999999</v>
      </c>
      <c r="R63" s="18">
        <v>0.99399999999999999</v>
      </c>
      <c r="S63" s="18">
        <v>0.27065</v>
      </c>
      <c r="T63" s="18">
        <v>0.5</v>
      </c>
      <c r="U63" s="18">
        <v>2.315E-2</v>
      </c>
      <c r="V63" s="18">
        <v>4.8000000000000001E-2</v>
      </c>
      <c r="W63" s="18">
        <v>6.0574999999999997E-2</v>
      </c>
      <c r="X63" s="18">
        <v>9.5000000000000001E-2</v>
      </c>
      <c r="Y63" s="18">
        <v>0.26822499999999999</v>
      </c>
      <c r="Z63" s="18">
        <v>0.47799999999999998</v>
      </c>
      <c r="AA63" s="13">
        <v>7542600435.4750004</v>
      </c>
      <c r="AB63" s="13">
        <v>13247986489</v>
      </c>
      <c r="AC63" s="13">
        <v>6720174805.7749996</v>
      </c>
      <c r="AD63" s="13">
        <v>11931856578</v>
      </c>
      <c r="AE63" s="13">
        <f t="shared" si="11"/>
        <v>512</v>
      </c>
      <c r="AF63" s="14">
        <f t="shared" si="12"/>
        <v>10</v>
      </c>
      <c r="AG63" s="14">
        <f t="shared" si="13"/>
        <v>11</v>
      </c>
      <c r="AH63" s="19">
        <f t="shared" si="14"/>
        <v>4.7619047619047619</v>
      </c>
      <c r="AI63" s="19">
        <f t="shared" si="15"/>
        <v>7.5426004354750003</v>
      </c>
      <c r="AJ63" s="19">
        <f t="shared" si="16"/>
        <v>13.247986489000001</v>
      </c>
      <c r="AK63" s="19">
        <f t="shared" si="17"/>
        <v>6.7201748057749997</v>
      </c>
      <c r="AL63" s="19">
        <f t="shared" si="18"/>
        <v>11.931856578</v>
      </c>
      <c r="AM63" s="20">
        <f>AI63/Assumptions!$B$13</f>
        <v>0.11972381643611112</v>
      </c>
      <c r="AN63" s="20">
        <f>AK63/Assumptions!$B$13</f>
        <v>0.10666944136150794</v>
      </c>
      <c r="AO63" s="19">
        <f t="shared" si="19"/>
        <v>8.6295125243014539</v>
      </c>
      <c r="AP63" s="17">
        <f>H63*Assumptions!$B$16/1000000000000</f>
        <v>122.3665946358863</v>
      </c>
      <c r="AQ63" s="14">
        <f>AP63/Assumptions!$B$9</f>
        <v>30.591648658971575</v>
      </c>
      <c r="AR63" s="20">
        <f>AQ63/Assumptions!$B$11</f>
        <v>3.0591648658971574E-2</v>
      </c>
      <c r="AS63" s="14">
        <f t="shared" si="20"/>
        <v>29.98483301032892</v>
      </c>
      <c r="AT63" s="14">
        <f>Assumptions!$B$21*O63/100</f>
        <v>0.92064694042968742</v>
      </c>
      <c r="AU63" s="14">
        <f>Assumptions!$B$21*P63/100</f>
        <v>1.6367056718749999</v>
      </c>
      <c r="AV63" s="18">
        <f>H63/(K63*Assumptions!$B$9)</f>
        <v>1.1047106983595107</v>
      </c>
      <c r="AW63" s="18">
        <f t="shared" si="21"/>
        <v>8.55348235728801E-2</v>
      </c>
    </row>
    <row r="64" spans="1:49" x14ac:dyDescent="0.2">
      <c r="A64" s="16">
        <v>384</v>
      </c>
      <c r="B64" s="16">
        <v>128</v>
      </c>
      <c r="C64" s="16">
        <v>20</v>
      </c>
      <c r="D64" s="16">
        <v>100</v>
      </c>
      <c r="E64" s="16">
        <v>17</v>
      </c>
      <c r="F64" s="17">
        <v>93.904940073261997</v>
      </c>
      <c r="G64" s="14">
        <v>37.440932288921999</v>
      </c>
      <c r="H64" s="17">
        <v>1250.1448531712299</v>
      </c>
      <c r="I64" s="14">
        <v>57.8</v>
      </c>
      <c r="J64" s="16">
        <v>100</v>
      </c>
      <c r="K64" s="14">
        <v>194</v>
      </c>
      <c r="L64" s="14">
        <v>310.2</v>
      </c>
      <c r="M64" s="13">
        <v>87187</v>
      </c>
      <c r="N64" s="13">
        <v>87187</v>
      </c>
      <c r="O64" s="14">
        <v>1.95</v>
      </c>
      <c r="P64" s="14">
        <v>3.9</v>
      </c>
      <c r="Q64" s="18">
        <v>0.61943749999999997</v>
      </c>
      <c r="R64" s="18">
        <v>0.99399999999999999</v>
      </c>
      <c r="S64" s="18">
        <v>0.24049999999999999</v>
      </c>
      <c r="T64" s="18">
        <v>0.46500000000000002</v>
      </c>
      <c r="U64" s="18">
        <v>2.0343750000000001E-2</v>
      </c>
      <c r="V64" s="18">
        <v>4.2999999999999997E-2</v>
      </c>
      <c r="W64" s="18">
        <v>7.2031250000000005E-2</v>
      </c>
      <c r="X64" s="18">
        <v>0.17199999999999999</v>
      </c>
      <c r="Y64" s="18">
        <v>0.23318749999999999</v>
      </c>
      <c r="Z64" s="18">
        <v>0.45700000000000002</v>
      </c>
      <c r="AA64" s="13">
        <v>6596796729.25</v>
      </c>
      <c r="AB64" s="13">
        <v>12665445852</v>
      </c>
      <c r="AC64" s="13">
        <v>5836861915.34375</v>
      </c>
      <c r="AD64" s="13">
        <v>11259279595</v>
      </c>
      <c r="AE64" s="13">
        <f t="shared" si="11"/>
        <v>512</v>
      </c>
      <c r="AF64" s="14">
        <f t="shared" si="12"/>
        <v>5</v>
      </c>
      <c r="AG64" s="14">
        <f t="shared" si="13"/>
        <v>12</v>
      </c>
      <c r="AH64" s="19">
        <f t="shared" si="14"/>
        <v>5.882352941176471</v>
      </c>
      <c r="AI64" s="19">
        <f t="shared" si="15"/>
        <v>6.5967967292500003</v>
      </c>
      <c r="AJ64" s="19">
        <f t="shared" si="16"/>
        <v>12.665445852</v>
      </c>
      <c r="AK64" s="19">
        <f t="shared" si="17"/>
        <v>5.83686191534375</v>
      </c>
      <c r="AL64" s="19">
        <f t="shared" si="18"/>
        <v>11.259279595000001</v>
      </c>
      <c r="AM64" s="20">
        <f>AI64/Assumptions!$B$13</f>
        <v>0.10471105919444444</v>
      </c>
      <c r="AN64" s="20">
        <f>AK64/Assumptions!$B$13</f>
        <v>9.2648601830853175E-2</v>
      </c>
      <c r="AO64" s="19">
        <f t="shared" si="19"/>
        <v>5.2768258914284791</v>
      </c>
      <c r="AP64" s="17">
        <f>H64*Assumptions!$B$16/1000000000000</f>
        <v>175.02027944397219</v>
      </c>
      <c r="AQ64" s="14">
        <f>AP64/Assumptions!$B$9</f>
        <v>43.755069860993046</v>
      </c>
      <c r="AR64" s="20">
        <f>AQ64/Assumptions!$B$11</f>
        <v>4.3755069860993048E-2</v>
      </c>
      <c r="AS64" s="14">
        <f t="shared" si="20"/>
        <v>46.806588798928352</v>
      </c>
      <c r="AT64" s="14">
        <f>Assumptions!$B$21*O64/100</f>
        <v>1.3298233583984373</v>
      </c>
      <c r="AU64" s="14">
        <f>Assumptions!$B$21*P64/100</f>
        <v>2.6596467167968747</v>
      </c>
      <c r="AV64" s="18">
        <f>H64/(K64*Assumptions!$B$9)</f>
        <v>1.6110114087258118</v>
      </c>
      <c r="AW64" s="18">
        <f t="shared" si="21"/>
        <v>8.4589397089397098E-2</v>
      </c>
    </row>
    <row r="65" spans="1:49" x14ac:dyDescent="0.2">
      <c r="A65" s="16">
        <v>384</v>
      </c>
      <c r="B65" s="16">
        <v>128</v>
      </c>
      <c r="C65" s="16">
        <v>50</v>
      </c>
      <c r="D65" s="16">
        <v>100</v>
      </c>
      <c r="E65" s="16">
        <v>14</v>
      </c>
      <c r="F65" s="17">
        <v>101.536751763197</v>
      </c>
      <c r="G65" s="14">
        <v>40.518948958236102</v>
      </c>
      <c r="H65" s="17">
        <v>1615.5043915331401</v>
      </c>
      <c r="I65" s="14">
        <v>56.8</v>
      </c>
      <c r="J65" s="16">
        <v>100</v>
      </c>
      <c r="K65" s="14">
        <v>176.2</v>
      </c>
      <c r="L65" s="14">
        <v>304.2</v>
      </c>
      <c r="M65" s="13">
        <v>87187</v>
      </c>
      <c r="N65" s="13">
        <v>87187</v>
      </c>
      <c r="O65" s="14">
        <v>2.7</v>
      </c>
      <c r="P65" s="14">
        <v>2.7</v>
      </c>
      <c r="Q65" s="18">
        <v>0.58787500000000004</v>
      </c>
      <c r="R65" s="18">
        <v>0.995</v>
      </c>
      <c r="S65" s="18">
        <v>0.185</v>
      </c>
      <c r="T65" s="18">
        <v>0.36199999999999999</v>
      </c>
      <c r="U65" s="18">
        <v>1.5208333333333299E-2</v>
      </c>
      <c r="V65" s="18">
        <v>2.9000000000000001E-2</v>
      </c>
      <c r="W65" s="18">
        <v>7.2791666666666602E-2</v>
      </c>
      <c r="X65" s="18">
        <v>0.153</v>
      </c>
      <c r="Y65" s="18">
        <v>0.17983333333333301</v>
      </c>
      <c r="Z65" s="18">
        <v>0.35</v>
      </c>
      <c r="AA65" s="13">
        <v>6459209631.0833302</v>
      </c>
      <c r="AB65" s="13">
        <v>12883697395</v>
      </c>
      <c r="AC65" s="13">
        <v>5674691963.25</v>
      </c>
      <c r="AD65" s="13">
        <v>11278731933</v>
      </c>
      <c r="AE65" s="13">
        <f t="shared" si="11"/>
        <v>512</v>
      </c>
      <c r="AF65" s="14">
        <f t="shared" si="12"/>
        <v>2</v>
      </c>
      <c r="AG65" s="14">
        <f t="shared" si="13"/>
        <v>12</v>
      </c>
      <c r="AH65" s="19">
        <f t="shared" si="14"/>
        <v>7.1428571428571432</v>
      </c>
      <c r="AI65" s="19">
        <f t="shared" si="15"/>
        <v>6.45920963108333</v>
      </c>
      <c r="AJ65" s="19">
        <f t="shared" si="16"/>
        <v>12.883697395</v>
      </c>
      <c r="AK65" s="19">
        <f t="shared" si="17"/>
        <v>5.6746919632499999</v>
      </c>
      <c r="AL65" s="19">
        <f t="shared" si="18"/>
        <v>11.278731933</v>
      </c>
      <c r="AM65" s="20">
        <f>AI65/Assumptions!$B$13</f>
        <v>0.1025271370013227</v>
      </c>
      <c r="AN65" s="20">
        <f>AK65/Assumptions!$B$13</f>
        <v>9.0074475607142851E-2</v>
      </c>
      <c r="AO65" s="19">
        <f t="shared" si="19"/>
        <v>3.9982618833697101</v>
      </c>
      <c r="AP65" s="17">
        <f>H65*Assumptions!$B$16/1000000000000</f>
        <v>226.17061481463961</v>
      </c>
      <c r="AQ65" s="14">
        <f>AP65/Assumptions!$B$9</f>
        <v>56.542653703659902</v>
      </c>
      <c r="AR65" s="20">
        <f>AQ65/Assumptions!$B$11</f>
        <v>5.6542653703659899E-2</v>
      </c>
      <c r="AS65" s="14">
        <f t="shared" si="20"/>
        <v>65.45853998233757</v>
      </c>
      <c r="AT65" s="14">
        <f>Assumptions!$B$21*O65/100</f>
        <v>1.8412938808593748</v>
      </c>
      <c r="AU65" s="14">
        <f>Assumptions!$B$21*P65/100</f>
        <v>1.8412938808593748</v>
      </c>
      <c r="AV65" s="18">
        <f>H65/(K65*Assumptions!$B$9)</f>
        <v>2.2921458449675653</v>
      </c>
      <c r="AW65" s="18">
        <f t="shared" si="21"/>
        <v>8.220720720720702E-2</v>
      </c>
    </row>
    <row r="66" spans="1:49" x14ac:dyDescent="0.2">
      <c r="A66" s="16">
        <v>384</v>
      </c>
      <c r="B66" s="16">
        <v>128</v>
      </c>
      <c r="C66" s="16">
        <v>100</v>
      </c>
      <c r="D66" s="16">
        <v>100</v>
      </c>
      <c r="E66" s="16">
        <v>13</v>
      </c>
      <c r="F66" s="17">
        <v>105.206515717437</v>
      </c>
      <c r="G66" s="14">
        <v>41.188842260568002</v>
      </c>
      <c r="H66" s="17">
        <v>1777.85312610357</v>
      </c>
      <c r="I66" s="14">
        <v>56.8</v>
      </c>
      <c r="J66" s="16">
        <v>100</v>
      </c>
      <c r="K66" s="14">
        <v>170.7</v>
      </c>
      <c r="L66" s="14">
        <v>284.2</v>
      </c>
      <c r="M66" s="13">
        <v>87187</v>
      </c>
      <c r="N66" s="13">
        <v>87187</v>
      </c>
      <c r="O66" s="14">
        <v>5.2</v>
      </c>
      <c r="P66" s="14">
        <v>5.2</v>
      </c>
      <c r="Q66" s="18">
        <v>0.57470833333333304</v>
      </c>
      <c r="R66" s="18">
        <v>0.995</v>
      </c>
      <c r="S66" s="18">
        <v>0.17524999999999999</v>
      </c>
      <c r="T66" s="18">
        <v>0.36599999999999999</v>
      </c>
      <c r="U66" s="18">
        <v>1.43749999999999E-2</v>
      </c>
      <c r="V66" s="18">
        <v>0.03</v>
      </c>
      <c r="W66" s="18">
        <v>7.0624999999999993E-2</v>
      </c>
      <c r="X66" s="18">
        <v>0.154</v>
      </c>
      <c r="Y66" s="18">
        <v>0.17804166666666699</v>
      </c>
      <c r="Z66" s="18">
        <v>0.36099999999999999</v>
      </c>
      <c r="AA66" s="13">
        <v>6590694555.875</v>
      </c>
      <c r="AB66" s="13">
        <v>12861190260</v>
      </c>
      <c r="AC66" s="13">
        <v>5784220182.0833302</v>
      </c>
      <c r="AD66" s="13">
        <v>11259451819</v>
      </c>
      <c r="AE66" s="13">
        <f t="shared" ref="AE66:AE97" si="22">A66+B66</f>
        <v>512</v>
      </c>
      <c r="AF66" s="14">
        <f t="shared" ref="AF66:AF97" si="23">D66/C66</f>
        <v>1</v>
      </c>
      <c r="AG66" s="14">
        <f t="shared" ref="AG66:AG97" si="24">E66-AF66</f>
        <v>12</v>
      </c>
      <c r="AH66" s="19">
        <f t="shared" ref="AH66:AH97" si="25">D66/E66</f>
        <v>7.6923076923076925</v>
      </c>
      <c r="AI66" s="19">
        <f t="shared" ref="AI66:AI97" si="26">AA66/1000000000</f>
        <v>6.5906945558750003</v>
      </c>
      <c r="AJ66" s="19">
        <f t="shared" ref="AJ66:AJ97" si="27">AB66/1000000000</f>
        <v>12.861190260000001</v>
      </c>
      <c r="AK66" s="19">
        <f t="shared" ref="AK66:AK97" si="28">AC66/1000000000</f>
        <v>5.7842201820833301</v>
      </c>
      <c r="AL66" s="19">
        <f t="shared" ref="AL66:AL97" si="29">AD66/1000000000</f>
        <v>11.259451819000001</v>
      </c>
      <c r="AM66" s="20">
        <f>AI66/Assumptions!$B$13</f>
        <v>0.10461419929960318</v>
      </c>
      <c r="AN66" s="20">
        <f>AK66/Assumptions!$B$13</f>
        <v>9.1813018763227464E-2</v>
      </c>
      <c r="AO66" s="19">
        <f t="shared" ref="AO66:AO97" si="30">AA66/H66/1000000</f>
        <v>3.7071085676911282</v>
      </c>
      <c r="AP66" s="17">
        <f>H66*Assumptions!$B$16/1000000000000</f>
        <v>248.89943765449982</v>
      </c>
      <c r="AQ66" s="14">
        <f>AP66/Assumptions!$B$9</f>
        <v>62.224859413624955</v>
      </c>
      <c r="AR66" s="20">
        <f>AQ66/Assumptions!$B$11</f>
        <v>6.2224859413624954E-2</v>
      </c>
      <c r="AS66" s="14">
        <f t="shared" ref="AS66:AS97" si="31">H66*G66/1000</f>
        <v>73.227711973537666</v>
      </c>
      <c r="AT66" s="14">
        <f>Assumptions!$B$21*O66/100</f>
        <v>3.5461956223958326</v>
      </c>
      <c r="AU66" s="14">
        <f>Assumptions!$B$21*P66/100</f>
        <v>3.5461956223958326</v>
      </c>
      <c r="AV66" s="18">
        <f>H66/(K66*Assumptions!$B$9)</f>
        <v>2.6037684916572497</v>
      </c>
      <c r="AW66" s="18">
        <f t="shared" ref="AW66:AW97" si="32">U66/S66</f>
        <v>8.2025677603423108E-2</v>
      </c>
    </row>
    <row r="67" spans="1:49" x14ac:dyDescent="0.2">
      <c r="A67" s="16">
        <v>384</v>
      </c>
      <c r="B67" s="16">
        <v>512</v>
      </c>
      <c r="C67" s="16">
        <v>5</v>
      </c>
      <c r="D67" s="16">
        <v>100</v>
      </c>
      <c r="E67" s="16">
        <v>47</v>
      </c>
      <c r="F67" s="17">
        <v>93.324008579365895</v>
      </c>
      <c r="G67" s="14">
        <v>37.036638722731901</v>
      </c>
      <c r="H67" s="17">
        <v>1250.59407018612</v>
      </c>
      <c r="I67" s="14">
        <v>86.9</v>
      </c>
      <c r="J67" s="16">
        <v>100</v>
      </c>
      <c r="K67" s="14">
        <v>244.9</v>
      </c>
      <c r="L67" s="14">
        <v>319.60000000000002</v>
      </c>
      <c r="M67" s="13">
        <v>87187</v>
      </c>
      <c r="N67" s="13">
        <v>87187</v>
      </c>
      <c r="O67" s="14">
        <v>3.04</v>
      </c>
      <c r="P67" s="14">
        <v>6.2</v>
      </c>
      <c r="Q67" s="18">
        <v>0.87715217391304401</v>
      </c>
      <c r="R67" s="18">
        <v>0.996</v>
      </c>
      <c r="S67" s="18">
        <v>0.351380434782609</v>
      </c>
      <c r="T67" s="18">
        <v>0.54700000000000004</v>
      </c>
      <c r="U67" s="18">
        <v>2.97173913043478E-2</v>
      </c>
      <c r="V67" s="18">
        <v>5.3999999999999999E-2</v>
      </c>
      <c r="W67" s="18">
        <v>9.6586956521739098E-2</v>
      </c>
      <c r="X67" s="18">
        <v>0.17</v>
      </c>
      <c r="Y67" s="18">
        <v>0.34323913043478299</v>
      </c>
      <c r="Z67" s="18">
        <v>0.54900000000000004</v>
      </c>
      <c r="AA67" s="13">
        <v>9017779238.5760899</v>
      </c>
      <c r="AB67" s="13">
        <v>14506231071</v>
      </c>
      <c r="AC67" s="13">
        <v>7984150472.5326099</v>
      </c>
      <c r="AD67" s="13">
        <v>13009084592</v>
      </c>
      <c r="AE67" s="13">
        <f t="shared" si="22"/>
        <v>896</v>
      </c>
      <c r="AF67" s="14">
        <f t="shared" si="23"/>
        <v>20</v>
      </c>
      <c r="AG67" s="14">
        <f t="shared" si="24"/>
        <v>27</v>
      </c>
      <c r="AH67" s="19">
        <f t="shared" si="25"/>
        <v>2.1276595744680851</v>
      </c>
      <c r="AI67" s="19">
        <f t="shared" si="26"/>
        <v>9.0177792385760895</v>
      </c>
      <c r="AJ67" s="19">
        <f t="shared" si="27"/>
        <v>14.506231071</v>
      </c>
      <c r="AK67" s="19">
        <f t="shared" si="28"/>
        <v>7.98415047253261</v>
      </c>
      <c r="AL67" s="19">
        <f t="shared" si="29"/>
        <v>13.009084592000001</v>
      </c>
      <c r="AM67" s="20">
        <f>AI67/Assumptions!$B$13</f>
        <v>0.14313935299327127</v>
      </c>
      <c r="AN67" s="20">
        <f>AK67/Assumptions!$B$13</f>
        <v>0.12673254718305729</v>
      </c>
      <c r="AO67" s="19">
        <f t="shared" si="30"/>
        <v>7.2107964155259561</v>
      </c>
      <c r="AP67" s="17">
        <f>H67*Assumptions!$B$16/1000000000000</f>
        <v>175.0831698260568</v>
      </c>
      <c r="AQ67" s="14">
        <f>AP67/Assumptions!$B$9</f>
        <v>43.770792456514201</v>
      </c>
      <c r="AR67" s="20">
        <f>AQ67/Assumptions!$B$11</f>
        <v>4.3770792456514204E-2</v>
      </c>
      <c r="AS67" s="14">
        <f t="shared" si="31"/>
        <v>46.317800766274154</v>
      </c>
      <c r="AT67" s="14">
        <f>Assumptions!$B$21*O67/100</f>
        <v>2.0731605177083328</v>
      </c>
      <c r="AU67" s="14">
        <f>Assumptions!$B$21*P67/100</f>
        <v>4.2281563190104166</v>
      </c>
      <c r="AV67" s="18">
        <f>H67/(K67*Assumptions!$B$9)</f>
        <v>1.2766374746693752</v>
      </c>
      <c r="AW67" s="18">
        <f t="shared" si="32"/>
        <v>8.457326692857349E-2</v>
      </c>
    </row>
    <row r="68" spans="1:49" x14ac:dyDescent="0.2">
      <c r="A68" s="16">
        <v>384</v>
      </c>
      <c r="B68" s="16">
        <v>512</v>
      </c>
      <c r="C68" s="16">
        <v>10</v>
      </c>
      <c r="D68" s="16">
        <v>100</v>
      </c>
      <c r="E68" s="16">
        <v>39</v>
      </c>
      <c r="F68" s="17">
        <v>95.110418958938695</v>
      </c>
      <c r="G68" s="14">
        <v>40.078942950812397</v>
      </c>
      <c r="H68" s="17">
        <v>1536.1037254087</v>
      </c>
      <c r="I68" s="14">
        <v>84.5</v>
      </c>
      <c r="J68" s="16">
        <v>100</v>
      </c>
      <c r="K68" s="14">
        <v>242.3</v>
      </c>
      <c r="L68" s="14">
        <v>322.3</v>
      </c>
      <c r="M68" s="13">
        <v>87187</v>
      </c>
      <c r="N68" s="13">
        <v>87187</v>
      </c>
      <c r="O68" s="14">
        <v>4.0750000000000002</v>
      </c>
      <c r="P68" s="14">
        <v>8.1999999999999993</v>
      </c>
      <c r="Q68" s="18">
        <v>0.85764473684210496</v>
      </c>
      <c r="R68" s="18">
        <v>0.996</v>
      </c>
      <c r="S68" s="18">
        <v>0.32260526315789501</v>
      </c>
      <c r="T68" s="18">
        <v>0.54300000000000004</v>
      </c>
      <c r="U68" s="18">
        <v>2.71184210526315E-2</v>
      </c>
      <c r="V68" s="18">
        <v>5.2999999999999999E-2</v>
      </c>
      <c r="W68" s="18">
        <v>0.102934210526316</v>
      </c>
      <c r="X68" s="18">
        <v>0.17199999999999999</v>
      </c>
      <c r="Y68" s="18">
        <v>0.31997368421052602</v>
      </c>
      <c r="Z68" s="18">
        <v>0.56499999999999995</v>
      </c>
      <c r="AA68" s="13">
        <v>9385112807.0921097</v>
      </c>
      <c r="AB68" s="13">
        <v>14047970640</v>
      </c>
      <c r="AC68" s="13">
        <v>8292040083.8552599</v>
      </c>
      <c r="AD68" s="13">
        <v>12729893797</v>
      </c>
      <c r="AE68" s="13">
        <f t="shared" si="22"/>
        <v>896</v>
      </c>
      <c r="AF68" s="14">
        <f t="shared" si="23"/>
        <v>10</v>
      </c>
      <c r="AG68" s="14">
        <f t="shared" si="24"/>
        <v>29</v>
      </c>
      <c r="AH68" s="19">
        <f t="shared" si="25"/>
        <v>2.5641025641025643</v>
      </c>
      <c r="AI68" s="19">
        <f t="shared" si="26"/>
        <v>9.3851128070921099</v>
      </c>
      <c r="AJ68" s="19">
        <f t="shared" si="27"/>
        <v>14.047970640000001</v>
      </c>
      <c r="AK68" s="19">
        <f t="shared" si="28"/>
        <v>8.2920400838552606</v>
      </c>
      <c r="AL68" s="19">
        <f t="shared" si="29"/>
        <v>12.729893797000001</v>
      </c>
      <c r="AM68" s="20">
        <f>AI68/Assumptions!$B$13</f>
        <v>0.14897004455701762</v>
      </c>
      <c r="AN68" s="20">
        <f>AK68/Assumptions!$B$13</f>
        <v>0.13161968387071843</v>
      </c>
      <c r="AO68" s="19">
        <f t="shared" si="30"/>
        <v>6.1096868992978193</v>
      </c>
      <c r="AP68" s="17">
        <f>H68*Assumptions!$B$16/1000000000000</f>
        <v>215.05452155721801</v>
      </c>
      <c r="AQ68" s="14">
        <f>AP68/Assumptions!$B$9</f>
        <v>53.763630389304502</v>
      </c>
      <c r="AR68" s="20">
        <f>AQ68/Assumptions!$B$11</f>
        <v>5.3763630389304505E-2</v>
      </c>
      <c r="AS68" s="14">
        <f t="shared" si="31"/>
        <v>61.56541357718568</v>
      </c>
      <c r="AT68" s="14">
        <f>Assumptions!$B$21*O68/100</f>
        <v>2.778989838704427</v>
      </c>
      <c r="AU68" s="14">
        <f>Assumptions!$B$21*P68/100</f>
        <v>5.5920777122395817</v>
      </c>
      <c r="AV68" s="18">
        <f>H68/(K68*Assumptions!$B$9)</f>
        <v>1.5849192379371646</v>
      </c>
      <c r="AW68" s="18">
        <f t="shared" si="32"/>
        <v>8.40606901052285E-2</v>
      </c>
    </row>
    <row r="69" spans="1:49" x14ac:dyDescent="0.2">
      <c r="A69" s="16">
        <v>384</v>
      </c>
      <c r="B69" s="16">
        <v>512</v>
      </c>
      <c r="C69" s="16">
        <v>20</v>
      </c>
      <c r="D69" s="16">
        <v>100</v>
      </c>
      <c r="E69" s="16">
        <v>36</v>
      </c>
      <c r="F69" s="17">
        <v>96.534300597850205</v>
      </c>
      <c r="G69" s="14">
        <v>41.342191253483101</v>
      </c>
      <c r="H69" s="17">
        <v>1730.6181564082599</v>
      </c>
      <c r="I69" s="14">
        <v>83</v>
      </c>
      <c r="J69" s="16">
        <v>100</v>
      </c>
      <c r="K69" s="14">
        <v>240.1</v>
      </c>
      <c r="L69" s="14">
        <v>318.7</v>
      </c>
      <c r="M69" s="13">
        <v>87187</v>
      </c>
      <c r="N69" s="13">
        <v>87187</v>
      </c>
      <c r="O69" s="14">
        <v>4</v>
      </c>
      <c r="P69" s="14">
        <v>8.6999999999999993</v>
      </c>
      <c r="Q69" s="18">
        <v>0.84572058823529395</v>
      </c>
      <c r="R69" s="18">
        <v>0.996</v>
      </c>
      <c r="S69" s="18">
        <v>0.30270588235294099</v>
      </c>
      <c r="T69" s="18">
        <v>0.505</v>
      </c>
      <c r="U69" s="18">
        <v>2.51617647058823E-2</v>
      </c>
      <c r="V69" s="18">
        <v>4.7E-2</v>
      </c>
      <c r="W69" s="18">
        <v>0.105852941176471</v>
      </c>
      <c r="X69" s="18">
        <v>0.155</v>
      </c>
      <c r="Y69" s="18">
        <v>0.30238235294117699</v>
      </c>
      <c r="Z69" s="18">
        <v>0.49299999999999999</v>
      </c>
      <c r="AA69" s="13">
        <v>9580375035.1323509</v>
      </c>
      <c r="AB69" s="13">
        <v>12781101357</v>
      </c>
      <c r="AC69" s="13">
        <v>8432307085.8235302</v>
      </c>
      <c r="AD69" s="13">
        <v>11188901832</v>
      </c>
      <c r="AE69" s="13">
        <f t="shared" si="22"/>
        <v>896</v>
      </c>
      <c r="AF69" s="14">
        <f t="shared" si="23"/>
        <v>5</v>
      </c>
      <c r="AG69" s="14">
        <f t="shared" si="24"/>
        <v>31</v>
      </c>
      <c r="AH69" s="19">
        <f t="shared" si="25"/>
        <v>2.7777777777777777</v>
      </c>
      <c r="AI69" s="19">
        <f t="shared" si="26"/>
        <v>9.5803750351323504</v>
      </c>
      <c r="AJ69" s="19">
        <f t="shared" si="27"/>
        <v>12.781101357000001</v>
      </c>
      <c r="AK69" s="19">
        <f t="shared" si="28"/>
        <v>8.4323070858235294</v>
      </c>
      <c r="AL69" s="19">
        <f t="shared" si="29"/>
        <v>11.188901832000001</v>
      </c>
      <c r="AM69" s="20">
        <f>AI69/Assumptions!$B$13</f>
        <v>0.15206944500210079</v>
      </c>
      <c r="AN69" s="20">
        <f>AK69/Assumptions!$B$13</f>
        <v>0.13384614421942109</v>
      </c>
      <c r="AO69" s="19">
        <f t="shared" si="30"/>
        <v>5.5358110046733504</v>
      </c>
      <c r="AP69" s="17">
        <f>H69*Assumptions!$B$16/1000000000000</f>
        <v>242.28654189715638</v>
      </c>
      <c r="AQ69" s="14">
        <f>AP69/Assumptions!$B$9</f>
        <v>60.571635474289096</v>
      </c>
      <c r="AR69" s="20">
        <f>AQ69/Assumptions!$B$11</f>
        <v>6.0571635474289093E-2</v>
      </c>
      <c r="AS69" s="14">
        <f t="shared" si="31"/>
        <v>71.547546808980613</v>
      </c>
      <c r="AT69" s="14">
        <f>Assumptions!$B$21*O69/100</f>
        <v>2.727842786458333</v>
      </c>
      <c r="AU69" s="14">
        <f>Assumptions!$B$21*P69/100</f>
        <v>5.9330580605468741</v>
      </c>
      <c r="AV69" s="18">
        <f>H69/(K69*Assumptions!$B$9)</f>
        <v>1.8019764227491253</v>
      </c>
      <c r="AW69" s="18">
        <f t="shared" si="32"/>
        <v>8.312281383598899E-2</v>
      </c>
    </row>
    <row r="70" spans="1:49" x14ac:dyDescent="0.2">
      <c r="A70" s="16">
        <v>384</v>
      </c>
      <c r="B70" s="16">
        <v>512</v>
      </c>
      <c r="C70" s="16">
        <v>50</v>
      </c>
      <c r="D70" s="16">
        <v>100</v>
      </c>
      <c r="E70" s="16">
        <v>34</v>
      </c>
      <c r="F70" s="17">
        <v>100.416923699668</v>
      </c>
      <c r="G70" s="14">
        <v>42.011904045877898</v>
      </c>
      <c r="H70" s="17">
        <v>1861.5967588584899</v>
      </c>
      <c r="I70" s="14">
        <v>82</v>
      </c>
      <c r="J70" s="16">
        <v>100</v>
      </c>
      <c r="K70" s="14">
        <v>238.9</v>
      </c>
      <c r="L70" s="14">
        <v>319.2</v>
      </c>
      <c r="M70" s="13">
        <v>87187</v>
      </c>
      <c r="N70" s="13">
        <v>87187</v>
      </c>
      <c r="O70" s="14">
        <v>4.0750000000000002</v>
      </c>
      <c r="P70" s="14">
        <v>9</v>
      </c>
      <c r="Q70" s="18">
        <v>0.83114062499999997</v>
      </c>
      <c r="R70" s="18">
        <v>0.996</v>
      </c>
      <c r="S70" s="18">
        <v>0.28459374999999998</v>
      </c>
      <c r="T70" s="18">
        <v>0.47299999999999998</v>
      </c>
      <c r="U70" s="18">
        <v>2.3421874999999901E-2</v>
      </c>
      <c r="V70" s="18">
        <v>4.3999999999999997E-2</v>
      </c>
      <c r="W70" s="18">
        <v>0.1066875</v>
      </c>
      <c r="X70" s="18">
        <v>0.154</v>
      </c>
      <c r="Y70" s="18">
        <v>0.28795312499999998</v>
      </c>
      <c r="Z70" s="18">
        <v>0.45700000000000002</v>
      </c>
      <c r="AA70" s="13">
        <v>9811774776.1718807</v>
      </c>
      <c r="AB70" s="13">
        <v>13109642727</v>
      </c>
      <c r="AC70" s="13">
        <v>8617995159.2968807</v>
      </c>
      <c r="AD70" s="13">
        <v>11708959120</v>
      </c>
      <c r="AE70" s="13">
        <f t="shared" si="22"/>
        <v>896</v>
      </c>
      <c r="AF70" s="14">
        <f t="shared" si="23"/>
        <v>2</v>
      </c>
      <c r="AG70" s="14">
        <f t="shared" si="24"/>
        <v>32</v>
      </c>
      <c r="AH70" s="19">
        <f t="shared" si="25"/>
        <v>2.9411764705882355</v>
      </c>
      <c r="AI70" s="19">
        <f t="shared" si="26"/>
        <v>9.8117747761718803</v>
      </c>
      <c r="AJ70" s="19">
        <f t="shared" si="27"/>
        <v>13.109642727000001</v>
      </c>
      <c r="AK70" s="19">
        <f t="shared" si="28"/>
        <v>8.6179951592968802</v>
      </c>
      <c r="AL70" s="19">
        <f t="shared" si="29"/>
        <v>11.708959119999999</v>
      </c>
      <c r="AM70" s="20">
        <f>AI70/Assumptions!$B$13</f>
        <v>0.15574245676463302</v>
      </c>
      <c r="AN70" s="20">
        <f>AK70/Assumptions!$B$13</f>
        <v>0.13679357395709332</v>
      </c>
      <c r="AO70" s="19">
        <f t="shared" si="30"/>
        <v>5.2706230441593327</v>
      </c>
      <c r="AP70" s="17">
        <f>H70*Assumptions!$B$16/1000000000000</f>
        <v>260.6235462401886</v>
      </c>
      <c r="AQ70" s="14">
        <f>AP70/Assumptions!$B$9</f>
        <v>65.155886560047151</v>
      </c>
      <c r="AR70" s="20">
        <f>AQ70/Assumptions!$B$11</f>
        <v>6.5155886560047144E-2</v>
      </c>
      <c r="AS70" s="14">
        <f t="shared" si="31"/>
        <v>78.209224405280168</v>
      </c>
      <c r="AT70" s="14">
        <f>Assumptions!$B$21*O70/100</f>
        <v>2.778989838704427</v>
      </c>
      <c r="AU70" s="14">
        <f>Assumptions!$B$21*P70/100</f>
        <v>6.137646269531249</v>
      </c>
      <c r="AV70" s="18">
        <f>H70/(K70*Assumptions!$B$9)</f>
        <v>1.9480920456869923</v>
      </c>
      <c r="AW70" s="18">
        <f t="shared" si="32"/>
        <v>8.2299330185571201E-2</v>
      </c>
    </row>
    <row r="71" spans="1:49" x14ac:dyDescent="0.2">
      <c r="A71" s="16">
        <v>384</v>
      </c>
      <c r="B71" s="16">
        <v>512</v>
      </c>
      <c r="C71" s="16">
        <v>100</v>
      </c>
      <c r="D71" s="16">
        <v>100</v>
      </c>
      <c r="E71" s="16">
        <v>33</v>
      </c>
      <c r="F71" s="17">
        <v>107.34185725217699</v>
      </c>
      <c r="G71" s="14">
        <v>42.1068873155142</v>
      </c>
      <c r="H71" s="17">
        <v>1907.4886291523601</v>
      </c>
      <c r="I71" s="14">
        <v>82</v>
      </c>
      <c r="J71" s="16">
        <v>100</v>
      </c>
      <c r="K71" s="14">
        <v>239.3</v>
      </c>
      <c r="L71" s="14">
        <v>309.89999999999998</v>
      </c>
      <c r="M71" s="13">
        <v>87187</v>
      </c>
      <c r="N71" s="13">
        <v>87187</v>
      </c>
      <c r="O71" s="14">
        <v>3.85</v>
      </c>
      <c r="P71" s="14">
        <v>8.6999999999999993</v>
      </c>
      <c r="Q71" s="18">
        <v>0.84398437500000001</v>
      </c>
      <c r="R71" s="18">
        <v>0.996</v>
      </c>
      <c r="S71" s="18">
        <v>0.28723437499999999</v>
      </c>
      <c r="T71" s="18">
        <v>0.503</v>
      </c>
      <c r="U71" s="18">
        <v>2.3796874999999999E-2</v>
      </c>
      <c r="V71" s="18">
        <v>4.7E-2</v>
      </c>
      <c r="W71" s="18">
        <v>0.106703125</v>
      </c>
      <c r="X71" s="18">
        <v>0.16</v>
      </c>
      <c r="Y71" s="18">
        <v>0.29318749999999999</v>
      </c>
      <c r="Z71" s="18">
        <v>0.49</v>
      </c>
      <c r="AA71" s="13">
        <v>9827314790.5156193</v>
      </c>
      <c r="AB71" s="13">
        <v>12996707894</v>
      </c>
      <c r="AC71" s="13">
        <v>8630938580.7968807</v>
      </c>
      <c r="AD71" s="13">
        <v>11377673373</v>
      </c>
      <c r="AE71" s="13">
        <f t="shared" si="22"/>
        <v>896</v>
      </c>
      <c r="AF71" s="14">
        <f t="shared" si="23"/>
        <v>1</v>
      </c>
      <c r="AG71" s="14">
        <f t="shared" si="24"/>
        <v>32</v>
      </c>
      <c r="AH71" s="19">
        <f t="shared" si="25"/>
        <v>3.0303030303030303</v>
      </c>
      <c r="AI71" s="19">
        <f t="shared" si="26"/>
        <v>9.8273147905156186</v>
      </c>
      <c r="AJ71" s="19">
        <f t="shared" si="27"/>
        <v>12.996707894</v>
      </c>
      <c r="AK71" s="19">
        <f t="shared" si="28"/>
        <v>8.6309385807968813</v>
      </c>
      <c r="AL71" s="19">
        <f t="shared" si="29"/>
        <v>11.377673373</v>
      </c>
      <c r="AM71" s="20">
        <f>AI71/Assumptions!$B$13</f>
        <v>0.15598912365897807</v>
      </c>
      <c r="AN71" s="20">
        <f>AK71/Assumptions!$B$13</f>
        <v>0.13699902509201398</v>
      </c>
      <c r="AO71" s="19">
        <f t="shared" si="30"/>
        <v>5.1519650708914746</v>
      </c>
      <c r="AP71" s="17">
        <f>H71*Assumptions!$B$16/1000000000000</f>
        <v>267.04840808133042</v>
      </c>
      <c r="AQ71" s="14">
        <f>AP71/Assumptions!$B$9</f>
        <v>66.762102020332605</v>
      </c>
      <c r="AR71" s="20">
        <f>AQ71/Assumptions!$B$11</f>
        <v>6.67621020203326E-2</v>
      </c>
      <c r="AS71" s="14">
        <f t="shared" si="31"/>
        <v>80.318408763343072</v>
      </c>
      <c r="AT71" s="14">
        <f>Assumptions!$B$21*O71/100</f>
        <v>2.6255486819661455</v>
      </c>
      <c r="AU71" s="14">
        <f>Assumptions!$B$21*P71/100</f>
        <v>5.9330580605468741</v>
      </c>
      <c r="AV71" s="18">
        <f>H71/(K71*Assumptions!$B$9)</f>
        <v>1.9927795958549519</v>
      </c>
      <c r="AW71" s="18">
        <f t="shared" si="32"/>
        <v>8.2848283740412337E-2</v>
      </c>
    </row>
    <row r="72" spans="1:49" x14ac:dyDescent="0.2">
      <c r="A72" s="16">
        <v>384</v>
      </c>
      <c r="B72" s="16">
        <v>1024</v>
      </c>
      <c r="C72" s="16">
        <v>5</v>
      </c>
      <c r="D72" s="16">
        <v>100</v>
      </c>
      <c r="E72" s="16">
        <v>73</v>
      </c>
      <c r="F72" s="17">
        <v>95.242612031288402</v>
      </c>
      <c r="G72" s="14">
        <v>40.770391606003898</v>
      </c>
      <c r="H72" s="17">
        <v>1517.2240912971899</v>
      </c>
      <c r="I72" s="14">
        <v>91.5</v>
      </c>
      <c r="J72" s="16">
        <v>100</v>
      </c>
      <c r="K72" s="14">
        <v>251</v>
      </c>
      <c r="L72" s="14">
        <v>319.5</v>
      </c>
      <c r="M72" s="13">
        <v>87187</v>
      </c>
      <c r="N72" s="13">
        <v>87187</v>
      </c>
      <c r="O72" s="14">
        <v>7.5166666666666702</v>
      </c>
      <c r="P72" s="14">
        <v>11.8</v>
      </c>
      <c r="Q72" s="18">
        <v>0.92228472222222202</v>
      </c>
      <c r="R72" s="18">
        <v>0.996</v>
      </c>
      <c r="S72" s="18">
        <v>0.36373611111111098</v>
      </c>
      <c r="T72" s="18">
        <v>0.55700000000000005</v>
      </c>
      <c r="U72" s="18">
        <v>3.0284722222222199E-2</v>
      </c>
      <c r="V72" s="18">
        <v>5.5E-2</v>
      </c>
      <c r="W72" s="18">
        <v>0.108569444444444</v>
      </c>
      <c r="X72" s="18">
        <v>0.17</v>
      </c>
      <c r="Y72" s="18">
        <v>0.362569444444444</v>
      </c>
      <c r="Z72" s="18">
        <v>0.56200000000000006</v>
      </c>
      <c r="AA72" s="13">
        <v>9883006260.9722195</v>
      </c>
      <c r="AB72" s="13">
        <v>14276949871</v>
      </c>
      <c r="AC72" s="13">
        <v>8710449238</v>
      </c>
      <c r="AD72" s="13">
        <v>12783607708</v>
      </c>
      <c r="AE72" s="13">
        <f t="shared" si="22"/>
        <v>1408</v>
      </c>
      <c r="AF72" s="14">
        <f t="shared" si="23"/>
        <v>20</v>
      </c>
      <c r="AG72" s="14">
        <f t="shared" si="24"/>
        <v>53</v>
      </c>
      <c r="AH72" s="19">
        <f t="shared" si="25"/>
        <v>1.3698630136986301</v>
      </c>
      <c r="AI72" s="19">
        <f t="shared" si="26"/>
        <v>9.8830062609722198</v>
      </c>
      <c r="AJ72" s="19">
        <f t="shared" si="27"/>
        <v>14.276949870999999</v>
      </c>
      <c r="AK72" s="19">
        <f t="shared" si="28"/>
        <v>8.7104492380000007</v>
      </c>
      <c r="AL72" s="19">
        <f t="shared" si="29"/>
        <v>12.783607708</v>
      </c>
      <c r="AM72" s="20">
        <f>AI72/Assumptions!$B$13</f>
        <v>0.15687311525352729</v>
      </c>
      <c r="AN72" s="20">
        <f>AK72/Assumptions!$B$13</f>
        <v>0.13826109901587302</v>
      </c>
      <c r="AO72" s="19">
        <f t="shared" si="30"/>
        <v>6.5138738025985923</v>
      </c>
      <c r="AP72" s="17">
        <f>H72*Assumptions!$B$16/1000000000000</f>
        <v>212.41137278160659</v>
      </c>
      <c r="AQ72" s="14">
        <f>AP72/Assumptions!$B$9</f>
        <v>53.102843195401647</v>
      </c>
      <c r="AR72" s="20">
        <f>AQ72/Assumptions!$B$11</f>
        <v>5.310284319540165E-2</v>
      </c>
      <c r="AS72" s="14">
        <f t="shared" si="31"/>
        <v>61.857820356249846</v>
      </c>
      <c r="AT72" s="14">
        <f>Assumptions!$B$21*O72/100</f>
        <v>5.1260712362196195</v>
      </c>
      <c r="AU72" s="14">
        <f>Assumptions!$B$21*P72/100</f>
        <v>8.0471362200520833</v>
      </c>
      <c r="AV72" s="18">
        <f>H72/(K72*Assumptions!$B$9)</f>
        <v>1.5111793738019821</v>
      </c>
      <c r="AW72" s="18">
        <f t="shared" si="32"/>
        <v>8.3260147390125591E-2</v>
      </c>
    </row>
    <row r="73" spans="1:49" x14ac:dyDescent="0.2">
      <c r="A73" s="16">
        <v>384</v>
      </c>
      <c r="B73" s="16">
        <v>1024</v>
      </c>
      <c r="C73" s="16">
        <v>10</v>
      </c>
      <c r="D73" s="16">
        <v>100</v>
      </c>
      <c r="E73" s="16">
        <v>66</v>
      </c>
      <c r="F73" s="17">
        <v>93.572517091524801</v>
      </c>
      <c r="G73" s="14">
        <v>42.015133275290601</v>
      </c>
      <c r="H73" s="17">
        <v>1706.8227560236901</v>
      </c>
      <c r="I73" s="14">
        <v>90.5</v>
      </c>
      <c r="J73" s="16">
        <v>100</v>
      </c>
      <c r="K73" s="14">
        <v>247</v>
      </c>
      <c r="L73" s="14">
        <v>294.5</v>
      </c>
      <c r="M73" s="13">
        <v>87187</v>
      </c>
      <c r="N73" s="13">
        <v>87187</v>
      </c>
      <c r="O73" s="14">
        <v>7.7</v>
      </c>
      <c r="P73" s="14">
        <v>12.6</v>
      </c>
      <c r="Q73" s="18">
        <v>0.91370312499999995</v>
      </c>
      <c r="R73" s="18">
        <v>0.996</v>
      </c>
      <c r="S73" s="18">
        <v>0.347609375</v>
      </c>
      <c r="T73" s="18">
        <v>0.55400000000000005</v>
      </c>
      <c r="U73" s="18">
        <v>2.8554687499999998E-2</v>
      </c>
      <c r="V73" s="18">
        <v>5.3999999999999999E-2</v>
      </c>
      <c r="W73" s="18">
        <v>0.1123515625</v>
      </c>
      <c r="X73" s="18">
        <v>0.16400000000000001</v>
      </c>
      <c r="Y73" s="18">
        <v>0.34986718750000001</v>
      </c>
      <c r="Z73" s="18">
        <v>0.55000000000000004</v>
      </c>
      <c r="AA73" s="13">
        <v>10177182890.9531</v>
      </c>
      <c r="AB73" s="13">
        <v>13489094112</v>
      </c>
      <c r="AC73" s="13">
        <v>8938054066.8125</v>
      </c>
      <c r="AD73" s="13">
        <v>11952953734</v>
      </c>
      <c r="AE73" s="13">
        <f t="shared" si="22"/>
        <v>1408</v>
      </c>
      <c r="AF73" s="14">
        <f t="shared" si="23"/>
        <v>10</v>
      </c>
      <c r="AG73" s="14">
        <f t="shared" si="24"/>
        <v>56</v>
      </c>
      <c r="AH73" s="19">
        <f t="shared" si="25"/>
        <v>1.5151515151515151</v>
      </c>
      <c r="AI73" s="19">
        <f t="shared" si="26"/>
        <v>10.1771828909531</v>
      </c>
      <c r="AJ73" s="19">
        <f t="shared" si="27"/>
        <v>13.489094112</v>
      </c>
      <c r="AK73" s="19">
        <f t="shared" si="28"/>
        <v>8.9380540668124997</v>
      </c>
      <c r="AL73" s="19">
        <f t="shared" si="29"/>
        <v>11.952953733999999</v>
      </c>
      <c r="AM73" s="20">
        <f>AI73/Assumptions!$B$13</f>
        <v>0.16154258557068413</v>
      </c>
      <c r="AN73" s="20">
        <f>AK73/Assumptions!$B$13</f>
        <v>0.14187387407638888</v>
      </c>
      <c r="AO73" s="19">
        <f t="shared" si="30"/>
        <v>5.9626477647054781</v>
      </c>
      <c r="AP73" s="17">
        <f>H73*Assumptions!$B$16/1000000000000</f>
        <v>238.95518584331663</v>
      </c>
      <c r="AQ73" s="14">
        <f>AP73/Assumptions!$B$9</f>
        <v>59.738796460829157</v>
      </c>
      <c r="AR73" s="20">
        <f>AQ73/Assumptions!$B$11</f>
        <v>5.9738796460829156E-2</v>
      </c>
      <c r="AS73" s="14">
        <f t="shared" si="31"/>
        <v>71.712385571634144</v>
      </c>
      <c r="AT73" s="14">
        <f>Assumptions!$B$21*O73/100</f>
        <v>5.2510973639322911</v>
      </c>
      <c r="AU73" s="14">
        <f>Assumptions!$B$21*P73/100</f>
        <v>8.5927047773437479</v>
      </c>
      <c r="AV73" s="18">
        <f>H73/(K73*Assumptions!$B$9)</f>
        <v>1.7275533967851113</v>
      </c>
      <c r="AW73" s="18">
        <f t="shared" si="32"/>
        <v>8.2145907313345617E-2</v>
      </c>
    </row>
    <row r="74" spans="1:49" x14ac:dyDescent="0.2">
      <c r="A74" s="16">
        <v>384</v>
      </c>
      <c r="B74" s="16">
        <v>1024</v>
      </c>
      <c r="C74" s="16">
        <v>20</v>
      </c>
      <c r="D74" s="16">
        <v>100</v>
      </c>
      <c r="E74" s="16">
        <v>64</v>
      </c>
      <c r="F74" s="17">
        <v>96.109075220301804</v>
      </c>
      <c r="G74" s="14">
        <v>42.877374888937297</v>
      </c>
      <c r="H74" s="17">
        <v>1804.37711738342</v>
      </c>
      <c r="I74" s="14">
        <v>87.3</v>
      </c>
      <c r="J74" s="16">
        <v>100</v>
      </c>
      <c r="K74" s="14">
        <v>248.6</v>
      </c>
      <c r="L74" s="14">
        <v>304.10000000000002</v>
      </c>
      <c r="M74" s="13">
        <v>87187</v>
      </c>
      <c r="N74" s="13">
        <v>87187</v>
      </c>
      <c r="O74" s="14">
        <v>9.36</v>
      </c>
      <c r="P74" s="14">
        <v>12.4</v>
      </c>
      <c r="Q74" s="18">
        <v>0.89665322580645201</v>
      </c>
      <c r="R74" s="18">
        <v>0.996</v>
      </c>
      <c r="S74" s="18">
        <v>0.33304838709677398</v>
      </c>
      <c r="T74" s="18">
        <v>0.55600000000000005</v>
      </c>
      <c r="U74" s="18">
        <v>2.7185483870967701E-2</v>
      </c>
      <c r="V74" s="18">
        <v>5.1999999999999998E-2</v>
      </c>
      <c r="W74" s="18">
        <v>0.11333870967741901</v>
      </c>
      <c r="X74" s="18">
        <v>0.17100000000000001</v>
      </c>
      <c r="Y74" s="18">
        <v>0.33818548387096797</v>
      </c>
      <c r="Z74" s="18">
        <v>0.55000000000000004</v>
      </c>
      <c r="AA74" s="13">
        <v>10218293755.7903</v>
      </c>
      <c r="AB74" s="13">
        <v>13827772085</v>
      </c>
      <c r="AC74" s="13">
        <v>8974954367.8467808</v>
      </c>
      <c r="AD74" s="13">
        <v>12305813259</v>
      </c>
      <c r="AE74" s="13">
        <f t="shared" si="22"/>
        <v>1408</v>
      </c>
      <c r="AF74" s="14">
        <f t="shared" si="23"/>
        <v>5</v>
      </c>
      <c r="AG74" s="14">
        <f t="shared" si="24"/>
        <v>59</v>
      </c>
      <c r="AH74" s="19">
        <f t="shared" si="25"/>
        <v>1.5625</v>
      </c>
      <c r="AI74" s="19">
        <f t="shared" si="26"/>
        <v>10.218293755790301</v>
      </c>
      <c r="AJ74" s="19">
        <f t="shared" si="27"/>
        <v>13.827772084999999</v>
      </c>
      <c r="AK74" s="19">
        <f t="shared" si="28"/>
        <v>8.9749543678467809</v>
      </c>
      <c r="AL74" s="19">
        <f t="shared" si="29"/>
        <v>12.305813259000001</v>
      </c>
      <c r="AM74" s="20">
        <f>AI74/Assumptions!$B$13</f>
        <v>0.16219513898079843</v>
      </c>
      <c r="AN74" s="20">
        <f>AK74/Assumptions!$B$13</f>
        <v>0.14245959314042508</v>
      </c>
      <c r="AO74" s="19">
        <f t="shared" si="30"/>
        <v>5.663058823649985</v>
      </c>
      <c r="AP74" s="17">
        <f>H74*Assumptions!$B$16/1000000000000</f>
        <v>252.61279643367882</v>
      </c>
      <c r="AQ74" s="14">
        <f>AP74/Assumptions!$B$9</f>
        <v>63.153199108419706</v>
      </c>
      <c r="AR74" s="20">
        <f>AQ74/Assumptions!$B$11</f>
        <v>6.3153199108419711E-2</v>
      </c>
      <c r="AS74" s="14">
        <f t="shared" si="31"/>
        <v>77.36695410306892</v>
      </c>
      <c r="AT74" s="14">
        <f>Assumptions!$B$21*O74/100</f>
        <v>6.3831521203124986</v>
      </c>
      <c r="AU74" s="14">
        <f>Assumptions!$B$21*P74/100</f>
        <v>8.4563126380208331</v>
      </c>
      <c r="AV74" s="18">
        <f>H74/(K74*Assumptions!$B$9)</f>
        <v>1.8145385331691675</v>
      </c>
      <c r="AW74" s="18">
        <f t="shared" si="32"/>
        <v>8.1626228873068848E-2</v>
      </c>
    </row>
    <row r="75" spans="1:49" x14ac:dyDescent="0.2">
      <c r="A75" s="16">
        <v>384</v>
      </c>
      <c r="B75" s="16">
        <v>1024</v>
      </c>
      <c r="C75" s="16">
        <v>50</v>
      </c>
      <c r="D75" s="16">
        <v>100</v>
      </c>
      <c r="E75" s="16">
        <v>61</v>
      </c>
      <c r="F75" s="17">
        <v>100.129042939516</v>
      </c>
      <c r="G75" s="14">
        <v>43.053837003196001</v>
      </c>
      <c r="H75" s="17">
        <v>1871.0900026715999</v>
      </c>
      <c r="I75" s="14">
        <v>89.7</v>
      </c>
      <c r="J75" s="16">
        <v>100</v>
      </c>
      <c r="K75" s="14">
        <v>248.9</v>
      </c>
      <c r="L75" s="14">
        <v>312.39999999999998</v>
      </c>
      <c r="M75" s="13">
        <v>87187</v>
      </c>
      <c r="N75" s="13">
        <v>87187</v>
      </c>
      <c r="O75" s="14">
        <v>8.06666666666667</v>
      </c>
      <c r="P75" s="14">
        <v>13.1</v>
      </c>
      <c r="Q75" s="18">
        <v>0.90981666666666705</v>
      </c>
      <c r="R75" s="18">
        <v>0.996</v>
      </c>
      <c r="S75" s="18">
        <v>0.33124166666666699</v>
      </c>
      <c r="T75" s="18">
        <v>0.55300000000000005</v>
      </c>
      <c r="U75" s="18">
        <v>2.69E-2</v>
      </c>
      <c r="V75" s="18">
        <v>5.1999999999999998E-2</v>
      </c>
      <c r="W75" s="18">
        <v>0.114808333333333</v>
      </c>
      <c r="X75" s="18">
        <v>0.157</v>
      </c>
      <c r="Y75" s="18">
        <v>0.33927499999999999</v>
      </c>
      <c r="Z75" s="18">
        <v>0.54800000000000004</v>
      </c>
      <c r="AA75" s="13">
        <v>10454681218.891701</v>
      </c>
      <c r="AB75" s="13">
        <v>14054143476</v>
      </c>
      <c r="AC75" s="13">
        <v>9179212285.4916706</v>
      </c>
      <c r="AD75" s="13">
        <v>12540193334</v>
      </c>
      <c r="AE75" s="13">
        <f t="shared" si="22"/>
        <v>1408</v>
      </c>
      <c r="AF75" s="14">
        <f t="shared" si="23"/>
        <v>2</v>
      </c>
      <c r="AG75" s="14">
        <f t="shared" si="24"/>
        <v>59</v>
      </c>
      <c r="AH75" s="19">
        <f t="shared" si="25"/>
        <v>1.639344262295082</v>
      </c>
      <c r="AI75" s="19">
        <f t="shared" si="26"/>
        <v>10.4546812188917</v>
      </c>
      <c r="AJ75" s="19">
        <f t="shared" si="27"/>
        <v>14.054143476</v>
      </c>
      <c r="AK75" s="19">
        <f t="shared" si="28"/>
        <v>9.1792122854916709</v>
      </c>
      <c r="AL75" s="19">
        <f t="shared" si="29"/>
        <v>12.540193334</v>
      </c>
      <c r="AM75" s="20">
        <f>AI75/Assumptions!$B$13</f>
        <v>0.16594732093478889</v>
      </c>
      <c r="AN75" s="20">
        <f>AK75/Assumptions!$B$13</f>
        <v>0.1457017823093916</v>
      </c>
      <c r="AO75" s="19">
        <f t="shared" si="30"/>
        <v>5.5874817373638814</v>
      </c>
      <c r="AP75" s="17">
        <f>H75*Assumptions!$B$16/1000000000000</f>
        <v>261.95260037402397</v>
      </c>
      <c r="AQ75" s="14">
        <f>AP75/Assumptions!$B$9</f>
        <v>65.488150093505993</v>
      </c>
      <c r="AR75" s="20">
        <f>AQ75/Assumptions!$B$11</f>
        <v>6.548815009350599E-2</v>
      </c>
      <c r="AS75" s="14">
        <f t="shared" si="31"/>
        <v>80.557603993332634</v>
      </c>
      <c r="AT75" s="14">
        <f>Assumptions!$B$21*O75/100</f>
        <v>5.5011496193576406</v>
      </c>
      <c r="AU75" s="14">
        <f>Assumptions!$B$21*P75/100</f>
        <v>8.9336851256510403</v>
      </c>
      <c r="AV75" s="18">
        <f>H75/(K75*Assumptions!$B$9)</f>
        <v>1.8793591830771392</v>
      </c>
      <c r="AW75" s="18">
        <f t="shared" si="32"/>
        <v>8.1209590178369193E-2</v>
      </c>
    </row>
    <row r="76" spans="1:49" x14ac:dyDescent="0.2">
      <c r="A76" s="16">
        <v>384</v>
      </c>
      <c r="B76" s="16">
        <v>1024</v>
      </c>
      <c r="C76" s="16">
        <v>100</v>
      </c>
      <c r="D76" s="16">
        <v>100</v>
      </c>
      <c r="E76" s="16">
        <v>60</v>
      </c>
      <c r="F76" s="17">
        <v>107.530291574076</v>
      </c>
      <c r="G76" s="14">
        <v>43.130332066211601</v>
      </c>
      <c r="H76" s="17">
        <v>1887.39192730177</v>
      </c>
      <c r="I76" s="14">
        <v>89.8</v>
      </c>
      <c r="J76" s="16">
        <v>100</v>
      </c>
      <c r="K76" s="14">
        <v>248.4</v>
      </c>
      <c r="L76" s="14">
        <v>293.3</v>
      </c>
      <c r="M76" s="13">
        <v>87187</v>
      </c>
      <c r="N76" s="13">
        <v>87187</v>
      </c>
      <c r="O76" s="14">
        <v>7.9</v>
      </c>
      <c r="P76" s="14">
        <v>12.7</v>
      </c>
      <c r="Q76" s="18">
        <v>0.90983620689655198</v>
      </c>
      <c r="R76" s="18">
        <v>0.996</v>
      </c>
      <c r="S76" s="18">
        <v>0.32407758620689697</v>
      </c>
      <c r="T76" s="18">
        <v>0.51400000000000001</v>
      </c>
      <c r="U76" s="18">
        <v>2.6206896551724101E-2</v>
      </c>
      <c r="V76" s="18">
        <v>4.7E-2</v>
      </c>
      <c r="W76" s="18">
        <v>0.114931034482759</v>
      </c>
      <c r="X76" s="18">
        <v>0.154</v>
      </c>
      <c r="Y76" s="18">
        <v>0.33284482758620698</v>
      </c>
      <c r="Z76" s="18">
        <v>0.501</v>
      </c>
      <c r="AA76" s="13">
        <v>10638954397.620701</v>
      </c>
      <c r="AB76" s="13">
        <v>13522251862</v>
      </c>
      <c r="AC76" s="13">
        <v>9330095856.4137897</v>
      </c>
      <c r="AD76" s="13">
        <v>11986027787</v>
      </c>
      <c r="AE76" s="13">
        <f t="shared" si="22"/>
        <v>1408</v>
      </c>
      <c r="AF76" s="14">
        <f t="shared" si="23"/>
        <v>1</v>
      </c>
      <c r="AG76" s="14">
        <f t="shared" si="24"/>
        <v>59</v>
      </c>
      <c r="AH76" s="19">
        <f t="shared" si="25"/>
        <v>1.6666666666666667</v>
      </c>
      <c r="AI76" s="19">
        <f t="shared" si="26"/>
        <v>10.638954397620701</v>
      </c>
      <c r="AJ76" s="19">
        <f t="shared" si="27"/>
        <v>13.522251861999999</v>
      </c>
      <c r="AK76" s="19">
        <f t="shared" si="28"/>
        <v>9.3300958564137897</v>
      </c>
      <c r="AL76" s="19">
        <f t="shared" si="29"/>
        <v>11.986027786999999</v>
      </c>
      <c r="AM76" s="20">
        <f>AI76/Assumptions!$B$13</f>
        <v>0.1688722920257254</v>
      </c>
      <c r="AN76" s="20">
        <f>AK76/Assumptions!$B$13</f>
        <v>0.14809675962561572</v>
      </c>
      <c r="AO76" s="19">
        <f t="shared" si="30"/>
        <v>5.6368548809203771</v>
      </c>
      <c r="AP76" s="17">
        <f>H76*Assumptions!$B$16/1000000000000</f>
        <v>264.23486982224779</v>
      </c>
      <c r="AQ76" s="14">
        <f>AP76/Assumptions!$B$9</f>
        <v>66.058717455561947</v>
      </c>
      <c r="AR76" s="20">
        <f>AQ76/Assumptions!$B$11</f>
        <v>6.6058717455561952E-2</v>
      </c>
      <c r="AS76" s="14">
        <f t="shared" si="31"/>
        <v>81.403840563612448</v>
      </c>
      <c r="AT76" s="14">
        <f>Assumptions!$B$21*O76/100</f>
        <v>5.3874895032552077</v>
      </c>
      <c r="AU76" s="14">
        <f>Assumptions!$B$21*P76/100</f>
        <v>8.6609008470052071</v>
      </c>
      <c r="AV76" s="18">
        <f>H76/(K76*Assumptions!$B$9)</f>
        <v>1.8995490411652274</v>
      </c>
      <c r="AW76" s="18">
        <f t="shared" si="32"/>
        <v>8.0866118692309516E-2</v>
      </c>
    </row>
    <row r="77" spans="1:49" x14ac:dyDescent="0.2">
      <c r="A77" s="16">
        <v>384</v>
      </c>
      <c r="B77" s="16">
        <v>2048</v>
      </c>
      <c r="C77" s="16">
        <v>5</v>
      </c>
      <c r="D77" s="16">
        <v>100</v>
      </c>
      <c r="E77" s="16">
        <v>132</v>
      </c>
      <c r="F77" s="17">
        <v>123.16487893695</v>
      </c>
      <c r="G77" s="14">
        <v>44.870665395234703</v>
      </c>
      <c r="H77" s="17">
        <v>1619.14724033164</v>
      </c>
      <c r="I77" s="14">
        <v>95.2</v>
      </c>
      <c r="J77" s="16">
        <v>100</v>
      </c>
      <c r="K77" s="14">
        <v>261.39999999999998</v>
      </c>
      <c r="L77" s="14">
        <v>305.2</v>
      </c>
      <c r="M77" s="13">
        <v>87185</v>
      </c>
      <c r="N77" s="13">
        <v>87185</v>
      </c>
      <c r="O77" s="14">
        <v>11.257142857142901</v>
      </c>
      <c r="P77" s="14">
        <v>21.1</v>
      </c>
      <c r="Q77" s="18">
        <v>0.95545000000000002</v>
      </c>
      <c r="R77" s="18">
        <v>1</v>
      </c>
      <c r="S77" s="18">
        <v>0.38975384615384601</v>
      </c>
      <c r="T77" s="18">
        <v>0.56399999999999995</v>
      </c>
      <c r="U77" s="18">
        <v>3.1492307692307597E-2</v>
      </c>
      <c r="V77" s="18">
        <v>5.5E-2</v>
      </c>
      <c r="W77" s="18">
        <v>0.122230769230769</v>
      </c>
      <c r="X77" s="18">
        <v>0.17799999999999999</v>
      </c>
      <c r="Y77" s="18">
        <v>0.38840384615384599</v>
      </c>
      <c r="Z77" s="18">
        <v>0.56399999999999995</v>
      </c>
      <c r="AA77" s="13">
        <v>10393162015.5462</v>
      </c>
      <c r="AB77" s="13">
        <v>15613174677</v>
      </c>
      <c r="AC77" s="13">
        <v>9121610799.8307705</v>
      </c>
      <c r="AD77" s="13">
        <v>13794688715</v>
      </c>
      <c r="AE77" s="13">
        <f t="shared" si="22"/>
        <v>2432</v>
      </c>
      <c r="AF77" s="14">
        <f t="shared" si="23"/>
        <v>20</v>
      </c>
      <c r="AG77" s="14">
        <f t="shared" si="24"/>
        <v>112</v>
      </c>
      <c r="AH77" s="19">
        <f t="shared" si="25"/>
        <v>0.75757575757575757</v>
      </c>
      <c r="AI77" s="19">
        <f t="shared" si="26"/>
        <v>10.393162015546199</v>
      </c>
      <c r="AJ77" s="19">
        <f t="shared" si="27"/>
        <v>15.613174677</v>
      </c>
      <c r="AK77" s="19">
        <f t="shared" si="28"/>
        <v>9.1216107998307709</v>
      </c>
      <c r="AL77" s="19">
        <f t="shared" si="29"/>
        <v>13.794688714999999</v>
      </c>
      <c r="AM77" s="20">
        <f>AI77/Assumptions!$B$13</f>
        <v>0.16497082564359047</v>
      </c>
      <c r="AN77" s="20">
        <f>AK77/Assumptions!$B$13</f>
        <v>0.14478747301318684</v>
      </c>
      <c r="AO77" s="19">
        <f t="shared" si="30"/>
        <v>6.4189109900946582</v>
      </c>
      <c r="AP77" s="17">
        <f>H77*Assumptions!$B$16/1000000000000</f>
        <v>226.68061364642961</v>
      </c>
      <c r="AQ77" s="14">
        <f>AP77/Assumptions!$B$9</f>
        <v>56.670153411607401</v>
      </c>
      <c r="AR77" s="20">
        <f>AQ77/Assumptions!$B$11</f>
        <v>5.6670153411607402E-2</v>
      </c>
      <c r="AS77" s="14">
        <f t="shared" si="31"/>
        <v>72.652214046538688</v>
      </c>
      <c r="AT77" s="14">
        <f>Assumptions!$B$21*O77/100</f>
        <v>7.6769289847470521</v>
      </c>
      <c r="AU77" s="14">
        <f>Assumptions!$B$21*P77/100</f>
        <v>14.389370698567706</v>
      </c>
      <c r="AV77" s="18">
        <f>H77/(K77*Assumptions!$B$9)</f>
        <v>1.5485340860096022</v>
      </c>
      <c r="AW77" s="18">
        <f t="shared" si="32"/>
        <v>8.0800505249861626E-2</v>
      </c>
    </row>
    <row r="78" spans="1:49" x14ac:dyDescent="0.2">
      <c r="A78" s="16">
        <v>384</v>
      </c>
      <c r="B78" s="16">
        <v>2048</v>
      </c>
      <c r="C78" s="16">
        <v>10</v>
      </c>
      <c r="D78" s="16">
        <v>100</v>
      </c>
      <c r="E78" s="16">
        <v>126</v>
      </c>
      <c r="F78" s="17">
        <v>95.046110387192996</v>
      </c>
      <c r="G78" s="14">
        <v>44.924063735850297</v>
      </c>
      <c r="H78" s="17">
        <v>1722.3549115342901</v>
      </c>
      <c r="I78" s="14">
        <v>94.6</v>
      </c>
      <c r="J78" s="16">
        <v>100</v>
      </c>
      <c r="K78" s="14">
        <v>259.3</v>
      </c>
      <c r="L78" s="14">
        <v>305.5</v>
      </c>
      <c r="M78" s="13">
        <v>87185</v>
      </c>
      <c r="N78" s="13">
        <v>87185</v>
      </c>
      <c r="O78" s="14">
        <v>13.25</v>
      </c>
      <c r="P78" s="14">
        <v>21.5</v>
      </c>
      <c r="Q78" s="18">
        <v>0.94899596774193595</v>
      </c>
      <c r="R78" s="18">
        <v>0.997</v>
      </c>
      <c r="S78" s="18">
        <v>0.384141129032258</v>
      </c>
      <c r="T78" s="18">
        <v>0.56399999999999995</v>
      </c>
      <c r="U78" s="18">
        <v>3.05604838709677E-2</v>
      </c>
      <c r="V78" s="18">
        <v>5.5E-2</v>
      </c>
      <c r="W78" s="18">
        <v>0.121048387096774</v>
      </c>
      <c r="X78" s="18">
        <v>0.16700000000000001</v>
      </c>
      <c r="Y78" s="18">
        <v>0.38885887096774202</v>
      </c>
      <c r="Z78" s="18">
        <v>0.56399999999999995</v>
      </c>
      <c r="AA78" s="13">
        <v>10206923943.8186</v>
      </c>
      <c r="AB78" s="13">
        <v>13968530472</v>
      </c>
      <c r="AC78" s="13">
        <v>8958219891.6411304</v>
      </c>
      <c r="AD78" s="13">
        <v>12330632435</v>
      </c>
      <c r="AE78" s="13">
        <f t="shared" si="22"/>
        <v>2432</v>
      </c>
      <c r="AF78" s="14">
        <f t="shared" si="23"/>
        <v>10</v>
      </c>
      <c r="AG78" s="14">
        <f t="shared" si="24"/>
        <v>116</v>
      </c>
      <c r="AH78" s="19">
        <f t="shared" si="25"/>
        <v>0.79365079365079361</v>
      </c>
      <c r="AI78" s="19">
        <f t="shared" si="26"/>
        <v>10.2069239438186</v>
      </c>
      <c r="AJ78" s="19">
        <f t="shared" si="27"/>
        <v>13.968530471999999</v>
      </c>
      <c r="AK78" s="19">
        <f t="shared" si="28"/>
        <v>8.9582198916411304</v>
      </c>
      <c r="AL78" s="19">
        <f t="shared" si="29"/>
        <v>12.330632435</v>
      </c>
      <c r="AM78" s="20">
        <f>AI78/Assumptions!$B$13</f>
        <v>0.1620146657748984</v>
      </c>
      <c r="AN78" s="20">
        <f>AK78/Assumptions!$B$13</f>
        <v>0.14219396653398619</v>
      </c>
      <c r="AO78" s="19">
        <f t="shared" si="30"/>
        <v>5.9261444174279818</v>
      </c>
      <c r="AP78" s="17">
        <f>H78*Assumptions!$B$16/1000000000000</f>
        <v>241.12968761480062</v>
      </c>
      <c r="AQ78" s="14">
        <f>AP78/Assumptions!$B$9</f>
        <v>60.282421903700154</v>
      </c>
      <c r="AR78" s="20">
        <f>AQ78/Assumptions!$B$11</f>
        <v>6.0282421903700152E-2</v>
      </c>
      <c r="AS78" s="14">
        <f t="shared" si="31"/>
        <v>77.375181821521238</v>
      </c>
      <c r="AT78" s="14">
        <f>Assumptions!$B$21*O78/100</f>
        <v>9.0359792301432282</v>
      </c>
      <c r="AU78" s="14">
        <f>Assumptions!$B$21*P78/100</f>
        <v>14.66215497721354</v>
      </c>
      <c r="AV78" s="18">
        <f>H78/(K78*Assumptions!$B$9)</f>
        <v>1.6605812876342942</v>
      </c>
      <c r="AW78" s="18">
        <f t="shared" si="32"/>
        <v>7.9555354949772644E-2</v>
      </c>
    </row>
    <row r="79" spans="1:49" x14ac:dyDescent="0.2">
      <c r="A79" s="16">
        <v>384</v>
      </c>
      <c r="B79" s="16">
        <v>2048</v>
      </c>
      <c r="C79" s="16">
        <v>20</v>
      </c>
      <c r="D79" s="16">
        <v>100</v>
      </c>
      <c r="E79" s="16">
        <v>121</v>
      </c>
      <c r="F79" s="17">
        <v>94.509620359167499</v>
      </c>
      <c r="G79" s="14">
        <v>45.209152302787501</v>
      </c>
      <c r="H79" s="17">
        <v>1771.93363067169</v>
      </c>
      <c r="I79" s="14">
        <v>94.9</v>
      </c>
      <c r="J79" s="16">
        <v>100</v>
      </c>
      <c r="K79" s="14">
        <v>260.5</v>
      </c>
      <c r="L79" s="14">
        <v>305.8</v>
      </c>
      <c r="M79" s="13">
        <v>87185</v>
      </c>
      <c r="N79" s="13">
        <v>87185</v>
      </c>
      <c r="O79" s="14">
        <v>14.3363636363636</v>
      </c>
      <c r="P79" s="14">
        <v>21.8</v>
      </c>
      <c r="Q79" s="18">
        <v>0.93726666666666703</v>
      </c>
      <c r="R79" s="18">
        <v>0.997</v>
      </c>
      <c r="S79" s="18">
        <v>0.37589166666666701</v>
      </c>
      <c r="T79" s="18">
        <v>0.56000000000000005</v>
      </c>
      <c r="U79" s="18">
        <v>2.9341666666666599E-2</v>
      </c>
      <c r="V79" s="18">
        <v>5.1999999999999998E-2</v>
      </c>
      <c r="W79" s="18">
        <v>0.12053333333333301</v>
      </c>
      <c r="X79" s="18">
        <v>0.159</v>
      </c>
      <c r="Y79" s="18">
        <v>0.37897500000000001</v>
      </c>
      <c r="Z79" s="18">
        <v>0.57799999999999996</v>
      </c>
      <c r="AA79" s="13">
        <v>10355504754.9958</v>
      </c>
      <c r="AB79" s="13">
        <v>13320917984</v>
      </c>
      <c r="AC79" s="13">
        <v>9042127348.1000004</v>
      </c>
      <c r="AD79" s="13">
        <v>11767208568</v>
      </c>
      <c r="AE79" s="13">
        <f t="shared" si="22"/>
        <v>2432</v>
      </c>
      <c r="AF79" s="14">
        <f t="shared" si="23"/>
        <v>5</v>
      </c>
      <c r="AG79" s="14">
        <f t="shared" si="24"/>
        <v>116</v>
      </c>
      <c r="AH79" s="19">
        <f t="shared" si="25"/>
        <v>0.82644628099173556</v>
      </c>
      <c r="AI79" s="19">
        <f t="shared" si="26"/>
        <v>10.355504754995801</v>
      </c>
      <c r="AJ79" s="19">
        <f t="shared" si="27"/>
        <v>13.320917983999999</v>
      </c>
      <c r="AK79" s="19">
        <f t="shared" si="28"/>
        <v>9.0421273481000011</v>
      </c>
      <c r="AL79" s="19">
        <f t="shared" si="29"/>
        <v>11.767208567999999</v>
      </c>
      <c r="AM79" s="20">
        <f>AI79/Assumptions!$B$13</f>
        <v>0.16437309134913969</v>
      </c>
      <c r="AN79" s="20">
        <f>AK79/Assumptions!$B$13</f>
        <v>0.14352583092222224</v>
      </c>
      <c r="AO79" s="19">
        <f t="shared" si="30"/>
        <v>5.8441831994973308</v>
      </c>
      <c r="AP79" s="17">
        <f>H79*Assumptions!$B$16/1000000000000</f>
        <v>248.07070829403659</v>
      </c>
      <c r="AQ79" s="14">
        <f>AP79/Assumptions!$B$9</f>
        <v>62.017677073509148</v>
      </c>
      <c r="AR79" s="20">
        <f>AQ79/Assumptions!$B$11</f>
        <v>6.201767707350915E-2</v>
      </c>
      <c r="AS79" s="14">
        <f t="shared" si="31"/>
        <v>80.107617379467655</v>
      </c>
      <c r="AT79" s="14">
        <f>Assumptions!$B$21*O79/100</f>
        <v>9.7768365323744995</v>
      </c>
      <c r="AU79" s="14">
        <f>Assumptions!$B$21*P79/100</f>
        <v>14.866743186197915</v>
      </c>
      <c r="AV79" s="18">
        <f>H79/(K79*Assumptions!$B$9)</f>
        <v>1.7005121215659214</v>
      </c>
      <c r="AW79" s="18">
        <f t="shared" si="32"/>
        <v>7.8058837874387318E-2</v>
      </c>
    </row>
    <row r="80" spans="1:49" x14ac:dyDescent="0.2">
      <c r="A80" s="16">
        <v>384</v>
      </c>
      <c r="B80" s="16">
        <v>2048</v>
      </c>
      <c r="C80" s="16">
        <v>50</v>
      </c>
      <c r="D80" s="16">
        <v>100</v>
      </c>
      <c r="E80" s="16">
        <v>119</v>
      </c>
      <c r="F80" s="17">
        <v>100.215101107024</v>
      </c>
      <c r="G80" s="14">
        <v>45.294459709974099</v>
      </c>
      <c r="H80" s="17">
        <v>1797.6370223680899</v>
      </c>
      <c r="I80" s="14">
        <v>94.8</v>
      </c>
      <c r="J80" s="16">
        <v>100</v>
      </c>
      <c r="K80" s="14">
        <v>260</v>
      </c>
      <c r="L80" s="14">
        <v>304.8</v>
      </c>
      <c r="M80" s="13">
        <v>87185</v>
      </c>
      <c r="N80" s="13">
        <v>87185</v>
      </c>
      <c r="O80" s="14">
        <v>13.3333333333333</v>
      </c>
      <c r="P80" s="14">
        <v>21.7</v>
      </c>
      <c r="Q80" s="18">
        <v>0.95270762711864398</v>
      </c>
      <c r="R80" s="18">
        <v>0.997</v>
      </c>
      <c r="S80" s="18">
        <v>0.37583898305084801</v>
      </c>
      <c r="T80" s="18">
        <v>0.55500000000000005</v>
      </c>
      <c r="U80" s="18">
        <v>2.96595744680851E-2</v>
      </c>
      <c r="V80" s="18">
        <v>5.0999999999999997E-2</v>
      </c>
      <c r="W80" s="18">
        <v>0.122733050847458</v>
      </c>
      <c r="X80" s="18">
        <v>0.16</v>
      </c>
      <c r="Y80" s="18">
        <v>0.38719658119658101</v>
      </c>
      <c r="Z80" s="18">
        <v>0.55200000000000005</v>
      </c>
      <c r="AA80" s="13">
        <v>10498711608.860201</v>
      </c>
      <c r="AB80" s="13">
        <v>13312808162</v>
      </c>
      <c r="AC80" s="13">
        <v>9204376888.2669506</v>
      </c>
      <c r="AD80" s="13">
        <v>11755433880</v>
      </c>
      <c r="AE80" s="13">
        <f t="shared" si="22"/>
        <v>2432</v>
      </c>
      <c r="AF80" s="14">
        <f t="shared" si="23"/>
        <v>2</v>
      </c>
      <c r="AG80" s="14">
        <f t="shared" si="24"/>
        <v>117</v>
      </c>
      <c r="AH80" s="19">
        <f t="shared" si="25"/>
        <v>0.84033613445378152</v>
      </c>
      <c r="AI80" s="19">
        <f t="shared" si="26"/>
        <v>10.498711608860201</v>
      </c>
      <c r="AJ80" s="19">
        <f t="shared" si="27"/>
        <v>13.312808162</v>
      </c>
      <c r="AK80" s="19">
        <f t="shared" si="28"/>
        <v>9.2043768882669514</v>
      </c>
      <c r="AL80" s="19">
        <f t="shared" si="29"/>
        <v>11.75543388</v>
      </c>
      <c r="AM80" s="20">
        <f>AI80/Assumptions!$B$13</f>
        <v>0.16664621601365398</v>
      </c>
      <c r="AN80" s="20">
        <f>AK80/Assumptions!$B$13</f>
        <v>0.14610122044868176</v>
      </c>
      <c r="AO80" s="19">
        <f t="shared" si="30"/>
        <v>5.8402844835882837</v>
      </c>
      <c r="AP80" s="17">
        <f>H80*Assumptions!$B$16/1000000000000</f>
        <v>251.66918313153261</v>
      </c>
      <c r="AQ80" s="14">
        <f>AP80/Assumptions!$B$9</f>
        <v>62.917295782883151</v>
      </c>
      <c r="AR80" s="20">
        <f>AQ80/Assumptions!$B$11</f>
        <v>6.2917295782883145E-2</v>
      </c>
      <c r="AS80" s="14">
        <f t="shared" si="31"/>
        <v>81.422997682809267</v>
      </c>
      <c r="AT80" s="14">
        <f>Assumptions!$B$21*O80/100</f>
        <v>9.0928092881944202</v>
      </c>
      <c r="AU80" s="14">
        <f>Assumptions!$B$21*P80/100</f>
        <v>14.798547116536456</v>
      </c>
      <c r="AV80" s="18">
        <f>H80/(K80*Assumptions!$B$9)</f>
        <v>1.728497136892394</v>
      </c>
      <c r="AW80" s="18">
        <f t="shared" si="32"/>
        <v>7.891564155300089E-2</v>
      </c>
    </row>
    <row r="81" spans="1:49" x14ac:dyDescent="0.2">
      <c r="A81" s="16">
        <v>384</v>
      </c>
      <c r="B81" s="16">
        <v>2048</v>
      </c>
      <c r="C81" s="16">
        <v>100</v>
      </c>
      <c r="D81" s="16">
        <v>100</v>
      </c>
      <c r="E81" s="16">
        <v>119</v>
      </c>
      <c r="F81" s="17">
        <v>105.181102662464</v>
      </c>
      <c r="G81" s="14">
        <v>45.352463095233198</v>
      </c>
      <c r="H81" s="17">
        <v>1804.82340933206</v>
      </c>
      <c r="I81" s="14">
        <v>94.8</v>
      </c>
      <c r="J81" s="16">
        <v>100</v>
      </c>
      <c r="K81" s="14">
        <v>259.8</v>
      </c>
      <c r="L81" s="14">
        <v>303</v>
      </c>
      <c r="M81" s="13">
        <v>87185</v>
      </c>
      <c r="N81" s="13">
        <v>87185</v>
      </c>
      <c r="O81" s="14">
        <v>13.175000000000001</v>
      </c>
      <c r="P81" s="14">
        <v>21.9</v>
      </c>
      <c r="Q81" s="18">
        <v>0.95077542372881396</v>
      </c>
      <c r="R81" s="18">
        <v>0.997</v>
      </c>
      <c r="S81" s="18">
        <v>0.37627542372881401</v>
      </c>
      <c r="T81" s="18">
        <v>0.55600000000000005</v>
      </c>
      <c r="U81" s="18">
        <v>2.9347457627118601E-2</v>
      </c>
      <c r="V81" s="18">
        <v>5.2999999999999999E-2</v>
      </c>
      <c r="W81" s="18">
        <v>0.121703389830508</v>
      </c>
      <c r="X81" s="18">
        <v>0.158</v>
      </c>
      <c r="Y81" s="18">
        <v>0.38153813559321997</v>
      </c>
      <c r="Z81" s="18">
        <v>0.55400000000000005</v>
      </c>
      <c r="AA81" s="13">
        <v>10478325029.5763</v>
      </c>
      <c r="AB81" s="13">
        <v>13314419822</v>
      </c>
      <c r="AC81" s="13">
        <v>9177117660.6610203</v>
      </c>
      <c r="AD81" s="13">
        <v>11759478136</v>
      </c>
      <c r="AE81" s="13">
        <f t="shared" si="22"/>
        <v>2432</v>
      </c>
      <c r="AF81" s="14">
        <f t="shared" si="23"/>
        <v>1</v>
      </c>
      <c r="AG81" s="14">
        <f t="shared" si="24"/>
        <v>118</v>
      </c>
      <c r="AH81" s="19">
        <f t="shared" si="25"/>
        <v>0.84033613445378152</v>
      </c>
      <c r="AI81" s="19">
        <f t="shared" si="26"/>
        <v>10.4783250295763</v>
      </c>
      <c r="AJ81" s="19">
        <f t="shared" si="27"/>
        <v>13.314419822</v>
      </c>
      <c r="AK81" s="19">
        <f t="shared" si="28"/>
        <v>9.1771176606610201</v>
      </c>
      <c r="AL81" s="19">
        <f t="shared" si="29"/>
        <v>11.759478136</v>
      </c>
      <c r="AM81" s="20">
        <f>AI81/Assumptions!$B$13</f>
        <v>0.16632261951708413</v>
      </c>
      <c r="AN81" s="20">
        <f>AK81/Assumptions!$B$13</f>
        <v>0.14566853429620666</v>
      </c>
      <c r="AO81" s="19">
        <f t="shared" si="30"/>
        <v>5.8057342205319591</v>
      </c>
      <c r="AP81" s="17">
        <f>H81*Assumptions!$B$16/1000000000000</f>
        <v>252.6752773064884</v>
      </c>
      <c r="AQ81" s="14">
        <f>AP81/Assumptions!$B$9</f>
        <v>63.168819326622099</v>
      </c>
      <c r="AR81" s="20">
        <f>AQ81/Assumptions!$B$11</f>
        <v>6.3168819326622105E-2</v>
      </c>
      <c r="AS81" s="14">
        <f t="shared" si="31"/>
        <v>81.853187065145207</v>
      </c>
      <c r="AT81" s="14">
        <f>Assumptions!$B$21*O81/100</f>
        <v>8.9848321778971343</v>
      </c>
      <c r="AU81" s="14">
        <f>Assumptions!$B$21*P81/100</f>
        <v>14.934939255859371</v>
      </c>
      <c r="AV81" s="18">
        <f>H81/(K81*Assumptions!$B$9)</f>
        <v>1.7367430805735757</v>
      </c>
      <c r="AW81" s="18">
        <f t="shared" si="32"/>
        <v>7.7994617177734274E-2</v>
      </c>
    </row>
    <row r="82" spans="1:49" x14ac:dyDescent="0.2">
      <c r="A82" s="16">
        <v>384</v>
      </c>
      <c r="B82" s="16">
        <v>5120</v>
      </c>
      <c r="C82" s="16">
        <v>5</v>
      </c>
      <c r="D82" s="16">
        <v>100</v>
      </c>
      <c r="E82" s="16">
        <v>342</v>
      </c>
      <c r="F82" s="17">
        <v>93.381489108433001</v>
      </c>
      <c r="G82" s="14">
        <v>52.016851362888097</v>
      </c>
      <c r="H82" s="17">
        <v>1515.3446692722</v>
      </c>
      <c r="I82" s="14">
        <v>98.1</v>
      </c>
      <c r="J82" s="16">
        <v>100</v>
      </c>
      <c r="K82" s="14">
        <v>283.2</v>
      </c>
      <c r="L82" s="14">
        <v>326.5</v>
      </c>
      <c r="M82" s="13">
        <v>87185</v>
      </c>
      <c r="N82" s="13">
        <v>87185</v>
      </c>
      <c r="O82" s="14">
        <v>28.08</v>
      </c>
      <c r="P82" s="14">
        <v>47.3</v>
      </c>
      <c r="Q82" s="18">
        <v>0.97984117647058799</v>
      </c>
      <c r="R82" s="18">
        <v>1</v>
      </c>
      <c r="S82" s="18">
        <v>0.46257647058823498</v>
      </c>
      <c r="T82" s="18">
        <v>0.57899999999999996</v>
      </c>
      <c r="U82" s="18">
        <v>3.4602941176470503E-2</v>
      </c>
      <c r="V82" s="18">
        <v>5.6000000000000001E-2</v>
      </c>
      <c r="W82" s="18">
        <v>0.135197058823529</v>
      </c>
      <c r="X82" s="18">
        <v>0.17</v>
      </c>
      <c r="Y82" s="18">
        <v>0.46764264705882402</v>
      </c>
      <c r="Z82" s="18">
        <v>0.58299999999999996</v>
      </c>
      <c r="AA82" s="13">
        <v>9247859491.0367603</v>
      </c>
      <c r="AB82" s="13">
        <v>14365916828</v>
      </c>
      <c r="AC82" s="13">
        <v>8113678403.8147097</v>
      </c>
      <c r="AD82" s="13">
        <v>12764703995</v>
      </c>
      <c r="AE82" s="13">
        <f t="shared" si="22"/>
        <v>5504</v>
      </c>
      <c r="AF82" s="14">
        <f t="shared" si="23"/>
        <v>20</v>
      </c>
      <c r="AG82" s="14">
        <f t="shared" si="24"/>
        <v>322</v>
      </c>
      <c r="AH82" s="19">
        <f t="shared" si="25"/>
        <v>0.29239766081871343</v>
      </c>
      <c r="AI82" s="19">
        <f t="shared" si="26"/>
        <v>9.2478594910367597</v>
      </c>
      <c r="AJ82" s="19">
        <f t="shared" si="27"/>
        <v>14.365916828</v>
      </c>
      <c r="AK82" s="19">
        <f t="shared" si="28"/>
        <v>8.1136784038147098</v>
      </c>
      <c r="AL82" s="19">
        <f t="shared" si="29"/>
        <v>12.764703995</v>
      </c>
      <c r="AM82" s="20">
        <f>AI82/Assumptions!$B$13</f>
        <v>0.14679142049264698</v>
      </c>
      <c r="AN82" s="20">
        <f>AK82/Assumptions!$B$13</f>
        <v>0.12878854609229698</v>
      </c>
      <c r="AO82" s="19">
        <f t="shared" si="30"/>
        <v>6.1028092674641377</v>
      </c>
      <c r="AP82" s="17">
        <f>H82*Assumptions!$B$16/1000000000000</f>
        <v>212.14825369810799</v>
      </c>
      <c r="AQ82" s="14">
        <f>AP82/Assumptions!$B$9</f>
        <v>53.037063424526998</v>
      </c>
      <c r="AR82" s="20">
        <f>AQ82/Assumptions!$B$11</f>
        <v>5.3037063424526999E-2</v>
      </c>
      <c r="AS82" s="14">
        <f t="shared" si="31"/>
        <v>78.823458425076851</v>
      </c>
      <c r="AT82" s="14">
        <f>Assumptions!$B$21*O82/100</f>
        <v>19.149456360937496</v>
      </c>
      <c r="AU82" s="14">
        <f>Assumptions!$B$21*P82/100</f>
        <v>32.256740949869787</v>
      </c>
      <c r="AV82" s="18">
        <f>H82/(K82*Assumptions!$B$9)</f>
        <v>1.3376983309253179</v>
      </c>
      <c r="AW82" s="18">
        <f t="shared" si="32"/>
        <v>7.480480174979004E-2</v>
      </c>
    </row>
    <row r="83" spans="1:49" x14ac:dyDescent="0.2">
      <c r="A83" s="16">
        <v>384</v>
      </c>
      <c r="B83" s="16">
        <v>5120</v>
      </c>
      <c r="C83" s="16">
        <v>10</v>
      </c>
      <c r="D83" s="16">
        <v>100</v>
      </c>
      <c r="E83" s="16">
        <v>336</v>
      </c>
      <c r="F83" s="17">
        <v>95.505354140186697</v>
      </c>
      <c r="G83" s="14">
        <v>52.240917329553</v>
      </c>
      <c r="H83" s="17">
        <v>1544.2879122828899</v>
      </c>
      <c r="I83" s="14">
        <v>98.1</v>
      </c>
      <c r="J83" s="16">
        <v>100</v>
      </c>
      <c r="K83" s="14">
        <v>283.8</v>
      </c>
      <c r="L83" s="14">
        <v>327.3</v>
      </c>
      <c r="M83" s="13">
        <v>87185</v>
      </c>
      <c r="N83" s="13">
        <v>87185</v>
      </c>
      <c r="O83" s="14">
        <v>29.088235294117698</v>
      </c>
      <c r="P83" s="14">
        <v>47.8</v>
      </c>
      <c r="Q83" s="18">
        <v>0.97951047904191602</v>
      </c>
      <c r="R83" s="18">
        <v>1</v>
      </c>
      <c r="S83" s="18">
        <v>0.45979041916167701</v>
      </c>
      <c r="T83" s="18">
        <v>0.58099999999999996</v>
      </c>
      <c r="U83" s="18">
        <v>3.4026946107784402E-2</v>
      </c>
      <c r="V83" s="18">
        <v>5.2999999999999999E-2</v>
      </c>
      <c r="W83" s="18">
        <v>0.13610479041916199</v>
      </c>
      <c r="X83" s="18">
        <v>0.17100000000000001</v>
      </c>
      <c r="Y83" s="18">
        <v>0.46508233532934101</v>
      </c>
      <c r="Z83" s="18">
        <v>0.59899999999999998</v>
      </c>
      <c r="AA83" s="13">
        <v>9354055130.4416199</v>
      </c>
      <c r="AB83" s="13">
        <v>13684011754</v>
      </c>
      <c r="AC83" s="13">
        <v>8203344875.0823402</v>
      </c>
      <c r="AD83" s="13">
        <v>12003130254</v>
      </c>
      <c r="AE83" s="13">
        <f t="shared" si="22"/>
        <v>5504</v>
      </c>
      <c r="AF83" s="14">
        <f t="shared" si="23"/>
        <v>10</v>
      </c>
      <c r="AG83" s="14">
        <f t="shared" si="24"/>
        <v>326</v>
      </c>
      <c r="AH83" s="19">
        <f t="shared" si="25"/>
        <v>0.29761904761904762</v>
      </c>
      <c r="AI83" s="19">
        <f t="shared" si="26"/>
        <v>9.3540551304416191</v>
      </c>
      <c r="AJ83" s="19">
        <f t="shared" si="27"/>
        <v>13.684011754</v>
      </c>
      <c r="AK83" s="19">
        <f t="shared" si="28"/>
        <v>8.2033448750823403</v>
      </c>
      <c r="AL83" s="19">
        <f t="shared" si="29"/>
        <v>12.003130254</v>
      </c>
      <c r="AM83" s="20">
        <f>AI83/Assumptions!$B$13</f>
        <v>0.14847706556256537</v>
      </c>
      <c r="AN83" s="20">
        <f>AK83/Assumptions!$B$13</f>
        <v>0.13021182341400539</v>
      </c>
      <c r="AO83" s="19">
        <f t="shared" si="30"/>
        <v>6.0571963660673269</v>
      </c>
      <c r="AP83" s="17">
        <f>H83*Assumptions!$B$16/1000000000000</f>
        <v>216.20030771960458</v>
      </c>
      <c r="AQ83" s="14">
        <f>AP83/Assumptions!$B$9</f>
        <v>54.050076929901145</v>
      </c>
      <c r="AR83" s="20">
        <f>AQ83/Assumptions!$B$11</f>
        <v>5.4050076929901145E-2</v>
      </c>
      <c r="AS83" s="14">
        <f t="shared" si="31"/>
        <v>80.67501715859845</v>
      </c>
      <c r="AT83" s="14">
        <f>Assumptions!$B$21*O83/100</f>
        <v>19.837033204465413</v>
      </c>
      <c r="AU83" s="14">
        <f>Assumptions!$B$21*P83/100</f>
        <v>32.597721298177078</v>
      </c>
      <c r="AV83" s="18">
        <f>H83/(K83*Assumptions!$B$9)</f>
        <v>1.3603663779799946</v>
      </c>
      <c r="AW83" s="18">
        <f t="shared" si="32"/>
        <v>7.4005339584554158E-2</v>
      </c>
    </row>
    <row r="84" spans="1:49" x14ac:dyDescent="0.2">
      <c r="A84" s="16">
        <v>384</v>
      </c>
      <c r="B84" s="16">
        <v>5120</v>
      </c>
      <c r="C84" s="16">
        <v>20</v>
      </c>
      <c r="D84" s="16">
        <v>100</v>
      </c>
      <c r="E84" s="16">
        <v>333</v>
      </c>
      <c r="F84" s="17">
        <v>94.031606569769806</v>
      </c>
      <c r="G84" s="14">
        <v>52.297285633140902</v>
      </c>
      <c r="H84" s="17">
        <v>1556.5991399176701</v>
      </c>
      <c r="I84" s="14">
        <v>98</v>
      </c>
      <c r="J84" s="16">
        <v>100</v>
      </c>
      <c r="K84" s="14">
        <v>283.8</v>
      </c>
      <c r="L84" s="14">
        <v>327.2</v>
      </c>
      <c r="M84" s="13">
        <v>87185</v>
      </c>
      <c r="N84" s="13">
        <v>87185</v>
      </c>
      <c r="O84" s="14">
        <v>28.955882352941199</v>
      </c>
      <c r="P84" s="14">
        <v>47.6</v>
      </c>
      <c r="Q84" s="18">
        <v>0.98035843373494003</v>
      </c>
      <c r="R84" s="18">
        <v>0.997</v>
      </c>
      <c r="S84" s="18">
        <v>0.459671686746988</v>
      </c>
      <c r="T84" s="18">
        <v>0.57999999999999996</v>
      </c>
      <c r="U84" s="18">
        <v>3.4200301204819199E-2</v>
      </c>
      <c r="V84" s="18">
        <v>5.5E-2</v>
      </c>
      <c r="W84" s="18">
        <v>0.13616566265060201</v>
      </c>
      <c r="X84" s="18">
        <v>0.17</v>
      </c>
      <c r="Y84" s="18">
        <v>0.466996987951807</v>
      </c>
      <c r="Z84" s="18">
        <v>0.59399999999999997</v>
      </c>
      <c r="AA84" s="13">
        <v>9329235720.0707798</v>
      </c>
      <c r="AB84" s="13">
        <v>13486010929</v>
      </c>
      <c r="AC84" s="13">
        <v>8180136091.3358402</v>
      </c>
      <c r="AD84" s="13">
        <v>11807863175</v>
      </c>
      <c r="AE84" s="13">
        <f t="shared" si="22"/>
        <v>5504</v>
      </c>
      <c r="AF84" s="14">
        <f t="shared" si="23"/>
        <v>5</v>
      </c>
      <c r="AG84" s="14">
        <f t="shared" si="24"/>
        <v>328</v>
      </c>
      <c r="AH84" s="19">
        <f t="shared" si="25"/>
        <v>0.3003003003003003</v>
      </c>
      <c r="AI84" s="19">
        <f t="shared" si="26"/>
        <v>9.3292357200707805</v>
      </c>
      <c r="AJ84" s="19">
        <f t="shared" si="27"/>
        <v>13.486010929000001</v>
      </c>
      <c r="AK84" s="19">
        <f t="shared" si="28"/>
        <v>8.1801360913358394</v>
      </c>
      <c r="AL84" s="19">
        <f t="shared" si="29"/>
        <v>11.807863175</v>
      </c>
      <c r="AM84" s="20">
        <f>AI84/Assumptions!$B$13</f>
        <v>0.14808310666779018</v>
      </c>
      <c r="AN84" s="20">
        <f>AK84/Assumptions!$B$13</f>
        <v>0.1298434300212038</v>
      </c>
      <c r="AO84" s="19">
        <f t="shared" si="30"/>
        <v>5.9933450307342531</v>
      </c>
      <c r="AP84" s="17">
        <f>H84*Assumptions!$B$16/1000000000000</f>
        <v>217.92387958847382</v>
      </c>
      <c r="AQ84" s="14">
        <f>AP84/Assumptions!$B$9</f>
        <v>54.480969897118456</v>
      </c>
      <c r="AR84" s="20">
        <f>AQ84/Assumptions!$B$11</f>
        <v>5.4480969897118453E-2</v>
      </c>
      <c r="AS84" s="14">
        <f t="shared" si="31"/>
        <v>81.405909836575859</v>
      </c>
      <c r="AT84" s="14">
        <f>Assumptions!$B$21*O84/100</f>
        <v>19.746773700501695</v>
      </c>
      <c r="AU84" s="14">
        <f>Assumptions!$B$21*P84/100</f>
        <v>32.461329158854163</v>
      </c>
      <c r="AV84" s="18">
        <f>H84/(K84*Assumptions!$B$9)</f>
        <v>1.371211363563839</v>
      </c>
      <c r="AW84" s="18">
        <f t="shared" si="32"/>
        <v>7.4401583109998448E-2</v>
      </c>
    </row>
    <row r="85" spans="1:49" x14ac:dyDescent="0.2">
      <c r="A85" s="16">
        <v>384</v>
      </c>
      <c r="B85" s="16">
        <v>5120</v>
      </c>
      <c r="C85" s="16">
        <v>50</v>
      </c>
      <c r="D85" s="16">
        <v>100</v>
      </c>
      <c r="E85" s="16">
        <v>332</v>
      </c>
      <c r="F85" s="17">
        <v>100.889280390693</v>
      </c>
      <c r="G85" s="14">
        <v>52.341214796355899</v>
      </c>
      <c r="H85" s="17">
        <v>1563.7070863921899</v>
      </c>
      <c r="I85" s="14">
        <v>98</v>
      </c>
      <c r="J85" s="16">
        <v>100</v>
      </c>
      <c r="K85" s="14">
        <v>283.7</v>
      </c>
      <c r="L85" s="14">
        <v>327.5</v>
      </c>
      <c r="M85" s="13">
        <v>87185</v>
      </c>
      <c r="N85" s="13">
        <v>87185</v>
      </c>
      <c r="O85" s="14">
        <v>29.9181818181818</v>
      </c>
      <c r="P85" s="14">
        <v>47.7</v>
      </c>
      <c r="Q85" s="18">
        <v>0.98016969696969702</v>
      </c>
      <c r="R85" s="18">
        <v>1</v>
      </c>
      <c r="S85" s="18">
        <v>0.45906818181818199</v>
      </c>
      <c r="T85" s="18">
        <v>0.57999999999999996</v>
      </c>
      <c r="U85" s="18">
        <v>3.4060606060606E-2</v>
      </c>
      <c r="V85" s="18">
        <v>5.5E-2</v>
      </c>
      <c r="W85" s="18">
        <v>0.136189393939394</v>
      </c>
      <c r="X85" s="18">
        <v>0.17</v>
      </c>
      <c r="Y85" s="18">
        <v>0.46658939393939403</v>
      </c>
      <c r="Z85" s="18">
        <v>0.58099999999999996</v>
      </c>
      <c r="AA85" s="13">
        <v>9351710583.8257599</v>
      </c>
      <c r="AB85" s="13">
        <v>13136154880</v>
      </c>
      <c r="AC85" s="13">
        <v>8198960390.0303001</v>
      </c>
      <c r="AD85" s="13">
        <v>11499541325</v>
      </c>
      <c r="AE85" s="13">
        <f t="shared" si="22"/>
        <v>5504</v>
      </c>
      <c r="AF85" s="14">
        <f t="shared" si="23"/>
        <v>2</v>
      </c>
      <c r="AG85" s="14">
        <f t="shared" si="24"/>
        <v>330</v>
      </c>
      <c r="AH85" s="19">
        <f t="shared" si="25"/>
        <v>0.30120481927710846</v>
      </c>
      <c r="AI85" s="19">
        <f t="shared" si="26"/>
        <v>9.3517105838257599</v>
      </c>
      <c r="AJ85" s="19">
        <f t="shared" si="27"/>
        <v>13.136154879999999</v>
      </c>
      <c r="AK85" s="19">
        <f t="shared" si="28"/>
        <v>8.198960390030301</v>
      </c>
      <c r="AL85" s="19">
        <f t="shared" si="29"/>
        <v>11.499541324999999</v>
      </c>
      <c r="AM85" s="20">
        <f>AI85/Assumptions!$B$13</f>
        <v>0.14843985053691683</v>
      </c>
      <c r="AN85" s="20">
        <f>AK85/Assumptions!$B$13</f>
        <v>0.13014222841317938</v>
      </c>
      <c r="AO85" s="19">
        <f t="shared" si="30"/>
        <v>5.9804746459275666</v>
      </c>
      <c r="AP85" s="17">
        <f>H85*Assumptions!$B$16/1000000000000</f>
        <v>218.9189920949066</v>
      </c>
      <c r="AQ85" s="14">
        <f>AP85/Assumptions!$B$9</f>
        <v>54.72974802372665</v>
      </c>
      <c r="AR85" s="20">
        <f>AQ85/Assumptions!$B$11</f>
        <v>5.4729748023726647E-2</v>
      </c>
      <c r="AS85" s="14">
        <f t="shared" si="31"/>
        <v>81.846328487437461</v>
      </c>
      <c r="AT85" s="14">
        <f>Assumptions!$B$21*O85/100</f>
        <v>20.403024114169018</v>
      </c>
      <c r="AU85" s="14">
        <f>Assumptions!$B$21*P85/100</f>
        <v>32.529525228515624</v>
      </c>
      <c r="AV85" s="18">
        <f>H85/(K85*Assumptions!$B$9)</f>
        <v>1.3779583066550847</v>
      </c>
      <c r="AW85" s="18">
        <f t="shared" si="32"/>
        <v>7.4195092166278703E-2</v>
      </c>
    </row>
    <row r="86" spans="1:49" x14ac:dyDescent="0.2">
      <c r="A86" s="16">
        <v>384</v>
      </c>
      <c r="B86" s="16">
        <v>5120</v>
      </c>
      <c r="C86" s="16">
        <v>100</v>
      </c>
      <c r="D86" s="16">
        <v>100</v>
      </c>
      <c r="E86" s="16">
        <v>332</v>
      </c>
      <c r="F86" s="17">
        <v>105.816857650643</v>
      </c>
      <c r="G86" s="14">
        <v>52.373164022771697</v>
      </c>
      <c r="H86" s="17">
        <v>1565.2302484388099</v>
      </c>
      <c r="I86" s="14">
        <v>98</v>
      </c>
      <c r="J86" s="16">
        <v>100</v>
      </c>
      <c r="K86" s="14">
        <v>283.60000000000002</v>
      </c>
      <c r="L86" s="14">
        <v>326.60000000000002</v>
      </c>
      <c r="M86" s="13">
        <v>87185</v>
      </c>
      <c r="N86" s="13">
        <v>87185</v>
      </c>
      <c r="O86" s="14">
        <v>30.0848484848485</v>
      </c>
      <c r="P86" s="14">
        <v>48.4</v>
      </c>
      <c r="Q86" s="18">
        <v>0.97969545454545504</v>
      </c>
      <c r="R86" s="18">
        <v>0.997</v>
      </c>
      <c r="S86" s="18">
        <v>0.45870151515151503</v>
      </c>
      <c r="T86" s="18">
        <v>0.57899999999999996</v>
      </c>
      <c r="U86" s="18">
        <v>3.4039393939393897E-2</v>
      </c>
      <c r="V86" s="18">
        <v>5.5E-2</v>
      </c>
      <c r="W86" s="18">
        <v>0.13598939393939399</v>
      </c>
      <c r="X86" s="18">
        <v>0.16900000000000001</v>
      </c>
      <c r="Y86" s="18">
        <v>0.46634999999999999</v>
      </c>
      <c r="Z86" s="18">
        <v>0.57899999999999996</v>
      </c>
      <c r="AA86" s="13">
        <v>9345958973.7742405</v>
      </c>
      <c r="AB86" s="13">
        <v>13219476823</v>
      </c>
      <c r="AC86" s="13">
        <v>8194219508.2106104</v>
      </c>
      <c r="AD86" s="13">
        <v>11572598879</v>
      </c>
      <c r="AE86" s="13">
        <f t="shared" si="22"/>
        <v>5504</v>
      </c>
      <c r="AF86" s="14">
        <f t="shared" si="23"/>
        <v>1</v>
      </c>
      <c r="AG86" s="14">
        <f t="shared" si="24"/>
        <v>331</v>
      </c>
      <c r="AH86" s="19">
        <f t="shared" si="25"/>
        <v>0.30120481927710846</v>
      </c>
      <c r="AI86" s="19">
        <f t="shared" si="26"/>
        <v>9.3459589737742412</v>
      </c>
      <c r="AJ86" s="19">
        <f t="shared" si="27"/>
        <v>13.219476823000001</v>
      </c>
      <c r="AK86" s="19">
        <f t="shared" si="28"/>
        <v>8.19421950821061</v>
      </c>
      <c r="AL86" s="19">
        <f t="shared" si="29"/>
        <v>11.572598878999999</v>
      </c>
      <c r="AM86" s="20">
        <f>AI86/Assumptions!$B$13</f>
        <v>0.14834855513927367</v>
      </c>
      <c r="AN86" s="20">
        <f>AK86/Assumptions!$B$13</f>
        <v>0.13006697632080333</v>
      </c>
      <c r="AO86" s="19">
        <f t="shared" si="30"/>
        <v>5.9709802970496364</v>
      </c>
      <c r="AP86" s="17">
        <f>H86*Assumptions!$B$16/1000000000000</f>
        <v>219.13223478143337</v>
      </c>
      <c r="AQ86" s="14">
        <f>AP86/Assumptions!$B$9</f>
        <v>54.783058695358342</v>
      </c>
      <c r="AR86" s="20">
        <f>AQ86/Assumptions!$B$11</f>
        <v>5.4783058695358343E-2</v>
      </c>
      <c r="AS86" s="14">
        <f t="shared" si="31"/>
        <v>81.976060534889484</v>
      </c>
      <c r="AT86" s="14">
        <f>Assumptions!$B$21*O86/100</f>
        <v>20.516684230271473</v>
      </c>
      <c r="AU86" s="14">
        <f>Assumptions!$B$21*P86/100</f>
        <v>33.006897716145829</v>
      </c>
      <c r="AV86" s="18">
        <f>H86/(K86*Assumptions!$B$9)</f>
        <v>1.3797868903727166</v>
      </c>
      <c r="AW86" s="18">
        <f t="shared" si="32"/>
        <v>7.4208156753417839E-2</v>
      </c>
    </row>
    <row r="87" spans="1:49" x14ac:dyDescent="0.2">
      <c r="A87" s="16">
        <v>384</v>
      </c>
      <c r="B87" s="16">
        <v>10240</v>
      </c>
      <c r="C87" s="16">
        <v>5</v>
      </c>
      <c r="D87" s="16">
        <v>100</v>
      </c>
      <c r="E87" s="16">
        <v>816</v>
      </c>
      <c r="F87" s="17">
        <v>145.188897379558</v>
      </c>
      <c r="G87" s="14">
        <v>64.2271945071179</v>
      </c>
      <c r="H87" s="17">
        <v>1258.3061635074</v>
      </c>
      <c r="I87" s="14">
        <v>99.1</v>
      </c>
      <c r="J87" s="16">
        <v>100</v>
      </c>
      <c r="K87" s="14">
        <v>302.10000000000002</v>
      </c>
      <c r="L87" s="14">
        <v>344.1</v>
      </c>
      <c r="M87" s="13">
        <v>87185</v>
      </c>
      <c r="N87" s="13">
        <v>87185</v>
      </c>
      <c r="O87" s="14">
        <v>57.7246913580247</v>
      </c>
      <c r="P87" s="14">
        <v>91.5</v>
      </c>
      <c r="Q87" s="18">
        <v>0.98915479115479099</v>
      </c>
      <c r="R87" s="18">
        <v>1</v>
      </c>
      <c r="S87" s="18">
        <v>0.54620577395577397</v>
      </c>
      <c r="T87" s="18">
        <v>0.67200000000000004</v>
      </c>
      <c r="U87" s="18">
        <v>3.8737714987714902E-2</v>
      </c>
      <c r="V87" s="18">
        <v>5.5E-2</v>
      </c>
      <c r="W87" s="18">
        <v>0.149590909090909</v>
      </c>
      <c r="X87" s="18">
        <v>0.189</v>
      </c>
      <c r="Y87" s="18">
        <v>0.55159213759213799</v>
      </c>
      <c r="Z87" s="18">
        <v>0.68400000000000005</v>
      </c>
      <c r="AA87" s="13">
        <v>7780463733.3200197</v>
      </c>
      <c r="AB87" s="13">
        <v>16573052913</v>
      </c>
      <c r="AC87" s="13">
        <v>6823803392.9054098</v>
      </c>
      <c r="AD87" s="13">
        <v>14635979228</v>
      </c>
      <c r="AE87" s="13">
        <f t="shared" si="22"/>
        <v>10624</v>
      </c>
      <c r="AF87" s="14">
        <f t="shared" si="23"/>
        <v>20</v>
      </c>
      <c r="AG87" s="14">
        <f t="shared" si="24"/>
        <v>796</v>
      </c>
      <c r="AH87" s="19">
        <f t="shared" si="25"/>
        <v>0.12254901960784313</v>
      </c>
      <c r="AI87" s="19">
        <f t="shared" si="26"/>
        <v>7.7804637333200199</v>
      </c>
      <c r="AJ87" s="19">
        <f t="shared" si="27"/>
        <v>16.573052913000001</v>
      </c>
      <c r="AK87" s="19">
        <f t="shared" si="28"/>
        <v>6.8238033929054094</v>
      </c>
      <c r="AL87" s="19">
        <f t="shared" si="29"/>
        <v>14.635979228</v>
      </c>
      <c r="AM87" s="20">
        <f>AI87/Assumptions!$B$13</f>
        <v>0.12349942433841302</v>
      </c>
      <c r="AN87" s="20">
        <f>AK87/Assumptions!$B$13</f>
        <v>0.10831433956992713</v>
      </c>
      <c r="AO87" s="19">
        <f t="shared" si="30"/>
        <v>6.1832834956738756</v>
      </c>
      <c r="AP87" s="17">
        <f>H87*Assumptions!$B$16/1000000000000</f>
        <v>176.16286289103601</v>
      </c>
      <c r="AQ87" s="14">
        <f>AP87/Assumptions!$B$9</f>
        <v>44.040715722759003</v>
      </c>
      <c r="AR87" s="20">
        <f>AQ87/Assumptions!$B$11</f>
        <v>4.4040715722759007E-2</v>
      </c>
      <c r="AS87" s="14">
        <f t="shared" si="31"/>
        <v>80.817474713095081</v>
      </c>
      <c r="AT87" s="14">
        <f>Assumptions!$B$21*O87/100</f>
        <v>39.365970730380333</v>
      </c>
      <c r="AU87" s="14">
        <f>Assumptions!$B$21*P87/100</f>
        <v>62.399403740234362</v>
      </c>
      <c r="AV87" s="18">
        <f>H87/(K87*Assumptions!$B$9)</f>
        <v>1.041299373971698</v>
      </c>
      <c r="AW87" s="18">
        <f t="shared" si="32"/>
        <v>7.0921467393443335E-2</v>
      </c>
    </row>
    <row r="88" spans="1:49" x14ac:dyDescent="0.2">
      <c r="A88" s="16">
        <v>384</v>
      </c>
      <c r="B88" s="16">
        <v>10240</v>
      </c>
      <c r="C88" s="16">
        <v>10</v>
      </c>
      <c r="D88" s="16">
        <v>100</v>
      </c>
      <c r="E88" s="16">
        <v>812</v>
      </c>
      <c r="F88" s="17">
        <v>135.813562377007</v>
      </c>
      <c r="G88" s="14">
        <v>64.321865744676501</v>
      </c>
      <c r="H88" s="17">
        <v>1266.1181168124999</v>
      </c>
      <c r="I88" s="14">
        <v>99.1</v>
      </c>
      <c r="J88" s="16">
        <v>100</v>
      </c>
      <c r="K88" s="14">
        <v>302.39999999999998</v>
      </c>
      <c r="L88" s="14">
        <v>344.3</v>
      </c>
      <c r="M88" s="13">
        <v>87185</v>
      </c>
      <c r="N88" s="13">
        <v>87185</v>
      </c>
      <c r="O88" s="14">
        <v>57.812345679012402</v>
      </c>
      <c r="P88" s="14">
        <v>91.9</v>
      </c>
      <c r="Q88" s="18">
        <v>0.98932716049382696</v>
      </c>
      <c r="R88" s="18">
        <v>1</v>
      </c>
      <c r="S88" s="18">
        <v>0.54804135802469101</v>
      </c>
      <c r="T88" s="18">
        <v>0.67300000000000004</v>
      </c>
      <c r="U88" s="18">
        <v>3.8795061728395003E-2</v>
      </c>
      <c r="V88" s="18">
        <v>5.5E-2</v>
      </c>
      <c r="W88" s="18">
        <v>0.14925432098765401</v>
      </c>
      <c r="X88" s="18">
        <v>0.192</v>
      </c>
      <c r="Y88" s="18">
        <v>0.55333580246913605</v>
      </c>
      <c r="Z88" s="18">
        <v>0.68300000000000005</v>
      </c>
      <c r="AA88" s="13">
        <v>7697604299.5648203</v>
      </c>
      <c r="AB88" s="13">
        <v>16725191344</v>
      </c>
      <c r="AC88" s="13">
        <v>6750336063.6543198</v>
      </c>
      <c r="AD88" s="13">
        <v>14730696692</v>
      </c>
      <c r="AE88" s="13">
        <f t="shared" si="22"/>
        <v>10624</v>
      </c>
      <c r="AF88" s="14">
        <f t="shared" si="23"/>
        <v>10</v>
      </c>
      <c r="AG88" s="14">
        <f t="shared" si="24"/>
        <v>802</v>
      </c>
      <c r="AH88" s="19">
        <f t="shared" si="25"/>
        <v>0.12315270935960591</v>
      </c>
      <c r="AI88" s="19">
        <f t="shared" si="26"/>
        <v>7.6976042995648202</v>
      </c>
      <c r="AJ88" s="19">
        <f t="shared" si="27"/>
        <v>16.725191343999999</v>
      </c>
      <c r="AK88" s="19">
        <f t="shared" si="28"/>
        <v>6.7503360636543199</v>
      </c>
      <c r="AL88" s="19">
        <f t="shared" si="29"/>
        <v>14.730696692</v>
      </c>
      <c r="AM88" s="20">
        <f>AI88/Assumptions!$B$13</f>
        <v>0.12218419523118762</v>
      </c>
      <c r="AN88" s="20">
        <f>AK88/Assumptions!$B$13</f>
        <v>0.10714819148657651</v>
      </c>
      <c r="AO88" s="19">
        <f t="shared" si="30"/>
        <v>6.0796889305587296</v>
      </c>
      <c r="AP88" s="17">
        <f>H88*Assumptions!$B$16/1000000000000</f>
        <v>177.25653635374999</v>
      </c>
      <c r="AQ88" s="14">
        <f>AP88/Assumptions!$B$9</f>
        <v>44.314134088437498</v>
      </c>
      <c r="AR88" s="20">
        <f>AQ88/Assumptions!$B$11</f>
        <v>4.4314134088437498E-2</v>
      </c>
      <c r="AS88" s="14">
        <f t="shared" si="31"/>
        <v>81.439079526516267</v>
      </c>
      <c r="AT88" s="14">
        <f>Assumptions!$B$21*O88/100</f>
        <v>39.425747532182392</v>
      </c>
      <c r="AU88" s="14">
        <f>Assumptions!$B$21*P88/100</f>
        <v>62.672188018880206</v>
      </c>
      <c r="AV88" s="18">
        <f>H88/(K88*Assumptions!$B$9)</f>
        <v>1.0467246336082177</v>
      </c>
      <c r="AW88" s="18">
        <f t="shared" si="32"/>
        <v>7.0788565790407307E-2</v>
      </c>
    </row>
    <row r="89" spans="1:49" x14ac:dyDescent="0.2">
      <c r="A89" s="16">
        <v>384</v>
      </c>
      <c r="B89" s="16">
        <v>10240</v>
      </c>
      <c r="C89" s="16">
        <v>20</v>
      </c>
      <c r="D89" s="16">
        <v>100</v>
      </c>
      <c r="E89" s="16">
        <v>807</v>
      </c>
      <c r="F89" s="17">
        <v>168.13140788755899</v>
      </c>
      <c r="G89" s="14">
        <v>64.163062385535497</v>
      </c>
      <c r="H89" s="17">
        <v>1272.92369097042</v>
      </c>
      <c r="I89" s="14">
        <v>99</v>
      </c>
      <c r="J89" s="16">
        <v>100</v>
      </c>
      <c r="K89" s="14">
        <v>302.10000000000002</v>
      </c>
      <c r="L89" s="14">
        <v>344.3</v>
      </c>
      <c r="M89" s="13">
        <v>87185</v>
      </c>
      <c r="N89" s="13">
        <v>87185</v>
      </c>
      <c r="O89" s="14">
        <v>57.796296296296298</v>
      </c>
      <c r="P89" s="14">
        <v>91.6</v>
      </c>
      <c r="Q89" s="18">
        <v>0.98963275434243203</v>
      </c>
      <c r="R89" s="18">
        <v>1</v>
      </c>
      <c r="S89" s="18">
        <v>0.54702171215880901</v>
      </c>
      <c r="T89" s="18">
        <v>0.67500000000000004</v>
      </c>
      <c r="U89" s="18">
        <v>3.86966501240694E-2</v>
      </c>
      <c r="V89" s="18">
        <v>5.5E-2</v>
      </c>
      <c r="W89" s="18">
        <v>0.149588709677419</v>
      </c>
      <c r="X89" s="18">
        <v>0.192</v>
      </c>
      <c r="Y89" s="18">
        <v>0.55352047146401995</v>
      </c>
      <c r="Z89" s="18">
        <v>0.68</v>
      </c>
      <c r="AA89" s="13">
        <v>7718686942.0192299</v>
      </c>
      <c r="AB89" s="13">
        <v>18469355360</v>
      </c>
      <c r="AC89" s="13">
        <v>6768668935.5911903</v>
      </c>
      <c r="AD89" s="13">
        <v>16217806766</v>
      </c>
      <c r="AE89" s="13">
        <f t="shared" si="22"/>
        <v>10624</v>
      </c>
      <c r="AF89" s="14">
        <f t="shared" si="23"/>
        <v>5</v>
      </c>
      <c r="AG89" s="14">
        <f t="shared" si="24"/>
        <v>802</v>
      </c>
      <c r="AH89" s="19">
        <f t="shared" si="25"/>
        <v>0.12391573729863693</v>
      </c>
      <c r="AI89" s="19">
        <f t="shared" si="26"/>
        <v>7.7186869420192297</v>
      </c>
      <c r="AJ89" s="19">
        <f t="shared" si="27"/>
        <v>18.469355360000002</v>
      </c>
      <c r="AK89" s="19">
        <f t="shared" si="28"/>
        <v>6.7686689355911902</v>
      </c>
      <c r="AL89" s="19">
        <f t="shared" si="29"/>
        <v>16.217806765999999</v>
      </c>
      <c r="AM89" s="20">
        <f>AI89/Assumptions!$B$13</f>
        <v>0.12251884034951158</v>
      </c>
      <c r="AN89" s="20">
        <f>AK89/Assumptions!$B$13</f>
        <v>0.10743918945382841</v>
      </c>
      <c r="AO89" s="19">
        <f t="shared" si="30"/>
        <v>6.0637467876293893</v>
      </c>
      <c r="AP89" s="17">
        <f>H89*Assumptions!$B$16/1000000000000</f>
        <v>178.20931673585881</v>
      </c>
      <c r="AQ89" s="14">
        <f>AP89/Assumptions!$B$9</f>
        <v>44.552329183964702</v>
      </c>
      <c r="AR89" s="20">
        <f>AQ89/Assumptions!$B$11</f>
        <v>4.4552329183964699E-2</v>
      </c>
      <c r="AS89" s="14">
        <f t="shared" si="31"/>
        <v>81.674682195761164</v>
      </c>
      <c r="AT89" s="14">
        <f>Assumptions!$B$21*O89/100</f>
        <v>39.414802483965083</v>
      </c>
      <c r="AU89" s="14">
        <f>Assumptions!$B$21*P89/100</f>
        <v>62.467599809895816</v>
      </c>
      <c r="AV89" s="18">
        <f>H89/(K89*Assumptions!$B$9)</f>
        <v>1.0533959706805858</v>
      </c>
      <c r="AW89" s="18">
        <f t="shared" si="32"/>
        <v>7.0740610955557739E-2</v>
      </c>
    </row>
    <row r="90" spans="1:49" x14ac:dyDescent="0.2">
      <c r="A90" s="16">
        <v>384</v>
      </c>
      <c r="B90" s="16">
        <v>10240</v>
      </c>
      <c r="C90" s="16">
        <v>50</v>
      </c>
      <c r="D90" s="16">
        <v>100</v>
      </c>
      <c r="E90" s="16">
        <v>809</v>
      </c>
      <c r="F90" s="17">
        <v>415.36237906024297</v>
      </c>
      <c r="G90" s="14">
        <v>64.397458517929905</v>
      </c>
      <c r="H90" s="17">
        <v>1271.2701350227401</v>
      </c>
      <c r="I90" s="14">
        <v>99.2</v>
      </c>
      <c r="J90" s="16">
        <v>100</v>
      </c>
      <c r="K90" s="14">
        <v>301.60000000000002</v>
      </c>
      <c r="L90" s="14">
        <v>340.7</v>
      </c>
      <c r="M90" s="13">
        <v>87185</v>
      </c>
      <c r="N90" s="13">
        <v>87185</v>
      </c>
      <c r="O90" s="14">
        <v>57.823456790123501</v>
      </c>
      <c r="P90" s="14">
        <v>92</v>
      </c>
      <c r="Q90" s="18">
        <v>0.98939205955334997</v>
      </c>
      <c r="R90" s="18">
        <v>1</v>
      </c>
      <c r="S90" s="18">
        <v>0.54784615384615398</v>
      </c>
      <c r="T90" s="18">
        <v>0.67500000000000004</v>
      </c>
      <c r="U90" s="18">
        <v>3.8752327746741103E-2</v>
      </c>
      <c r="V90" s="18">
        <v>5.5E-2</v>
      </c>
      <c r="W90" s="18">
        <v>0.149199131513648</v>
      </c>
      <c r="X90" s="18">
        <v>0.23499999999999999</v>
      </c>
      <c r="Y90" s="18">
        <v>0.55417639751552805</v>
      </c>
      <c r="Z90" s="18">
        <v>0.68200000000000005</v>
      </c>
      <c r="AA90" s="13">
        <v>7706349135.2431803</v>
      </c>
      <c r="AB90" s="13">
        <v>25793219678</v>
      </c>
      <c r="AC90" s="13">
        <v>6757544508.5911903</v>
      </c>
      <c r="AD90" s="13">
        <v>22585714920</v>
      </c>
      <c r="AE90" s="13">
        <f t="shared" si="22"/>
        <v>10624</v>
      </c>
      <c r="AF90" s="14">
        <f t="shared" si="23"/>
        <v>2</v>
      </c>
      <c r="AG90" s="14">
        <f t="shared" si="24"/>
        <v>807</v>
      </c>
      <c r="AH90" s="19">
        <f t="shared" si="25"/>
        <v>0.12360939431396786</v>
      </c>
      <c r="AI90" s="19">
        <f t="shared" si="26"/>
        <v>7.7063491352431805</v>
      </c>
      <c r="AJ90" s="19">
        <f t="shared" si="27"/>
        <v>25.793219678</v>
      </c>
      <c r="AK90" s="19">
        <f t="shared" si="28"/>
        <v>6.7575445085911907</v>
      </c>
      <c r="AL90" s="19">
        <f t="shared" si="29"/>
        <v>22.585714920000001</v>
      </c>
      <c r="AM90" s="20">
        <f>AI90/Assumptions!$B$13</f>
        <v>0.12232300214671715</v>
      </c>
      <c r="AN90" s="20">
        <f>AK90/Assumptions!$B$13</f>
        <v>0.10726261124747921</v>
      </c>
      <c r="AO90" s="19">
        <f t="shared" si="30"/>
        <v>6.061928871714847</v>
      </c>
      <c r="AP90" s="17">
        <f>H90*Assumptions!$B$16/1000000000000</f>
        <v>177.97781890318362</v>
      </c>
      <c r="AQ90" s="14">
        <f>AP90/Assumptions!$B$9</f>
        <v>44.494454725795904</v>
      </c>
      <c r="AR90" s="20">
        <f>AQ90/Assumptions!$B$11</f>
        <v>4.4494454725795905E-2</v>
      </c>
      <c r="AS90" s="14">
        <f t="shared" si="31"/>
        <v>81.866565785210057</v>
      </c>
      <c r="AT90" s="14">
        <f>Assumptions!$B$21*O90/100</f>
        <v>39.433324873255877</v>
      </c>
      <c r="AU90" s="14">
        <f>Assumptions!$B$21*P90/100</f>
        <v>62.74038408854166</v>
      </c>
      <c r="AV90" s="18">
        <f>H90/(K90*Assumptions!$B$9)</f>
        <v>1.0537716636461705</v>
      </c>
      <c r="AW90" s="18">
        <f t="shared" si="32"/>
        <v>7.0735784991243222E-2</v>
      </c>
    </row>
    <row r="91" spans="1:49" x14ac:dyDescent="0.2">
      <c r="A91" s="16">
        <v>384</v>
      </c>
      <c r="B91" s="16">
        <v>10240</v>
      </c>
      <c r="C91" s="16">
        <v>100</v>
      </c>
      <c r="D91" s="16">
        <v>100</v>
      </c>
      <c r="E91" s="16">
        <v>808</v>
      </c>
      <c r="F91" s="17">
        <v>851.51104211225197</v>
      </c>
      <c r="G91" s="14">
        <v>64.433735278263498</v>
      </c>
      <c r="H91" s="17">
        <v>1270.8776975154799</v>
      </c>
      <c r="I91" s="14">
        <v>99.2</v>
      </c>
      <c r="J91" s="16">
        <v>100</v>
      </c>
      <c r="K91" s="14">
        <v>301.7</v>
      </c>
      <c r="L91" s="14">
        <v>345.2</v>
      </c>
      <c r="M91" s="13">
        <v>87438.5</v>
      </c>
      <c r="N91" s="13">
        <v>87441</v>
      </c>
      <c r="O91" s="14">
        <v>58.583750000000002</v>
      </c>
      <c r="P91" s="14">
        <v>92</v>
      </c>
      <c r="Q91" s="18">
        <v>0.98960794044665001</v>
      </c>
      <c r="R91" s="18">
        <v>1</v>
      </c>
      <c r="S91" s="18">
        <v>0.54771277915632799</v>
      </c>
      <c r="T91" s="18">
        <v>0.67400000000000004</v>
      </c>
      <c r="U91" s="18">
        <v>3.87419354838709E-2</v>
      </c>
      <c r="V91" s="18">
        <v>5.8999999999999997E-2</v>
      </c>
      <c r="W91" s="18">
        <v>0.149224565756824</v>
      </c>
      <c r="X91" s="18">
        <v>0.24399999999999999</v>
      </c>
      <c r="Y91" s="18">
        <v>0.55324193548387102</v>
      </c>
      <c r="Z91" s="18">
        <v>0.67900000000000005</v>
      </c>
      <c r="AA91" s="13">
        <v>7705326761.8566999</v>
      </c>
      <c r="AB91" s="13">
        <v>28580552533</v>
      </c>
      <c r="AC91" s="13">
        <v>6756574432.9975204</v>
      </c>
      <c r="AD91" s="13">
        <v>25012029465</v>
      </c>
      <c r="AE91" s="13">
        <f t="shared" si="22"/>
        <v>10624</v>
      </c>
      <c r="AF91" s="14">
        <f t="shared" si="23"/>
        <v>1</v>
      </c>
      <c r="AG91" s="14">
        <f t="shared" si="24"/>
        <v>807</v>
      </c>
      <c r="AH91" s="19">
        <f t="shared" si="25"/>
        <v>0.12376237623762376</v>
      </c>
      <c r="AI91" s="19">
        <f t="shared" si="26"/>
        <v>7.7053267618566998</v>
      </c>
      <c r="AJ91" s="19">
        <f t="shared" si="27"/>
        <v>28.580552532999999</v>
      </c>
      <c r="AK91" s="19">
        <f t="shared" si="28"/>
        <v>6.7565744329975201</v>
      </c>
      <c r="AL91" s="19">
        <f t="shared" si="29"/>
        <v>25.012029465000001</v>
      </c>
      <c r="AM91" s="20">
        <f>AI91/Assumptions!$B$13</f>
        <v>0.1223067739977254</v>
      </c>
      <c r="AN91" s="20">
        <f>AK91/Assumptions!$B$13</f>
        <v>0.10724721322218286</v>
      </c>
      <c r="AO91" s="19">
        <f t="shared" si="30"/>
        <v>6.0629962874636458</v>
      </c>
      <c r="AP91" s="17">
        <f>H91*Assumptions!$B$16/1000000000000</f>
        <v>177.92287765216719</v>
      </c>
      <c r="AQ91" s="14">
        <f>AP91/Assumptions!$B$9</f>
        <v>44.480719413041797</v>
      </c>
      <c r="AR91" s="20">
        <f>AQ91/Assumptions!$B$11</f>
        <v>4.4480719413041797E-2</v>
      </c>
      <c r="AS91" s="14">
        <f t="shared" si="31"/>
        <v>81.88739713276145</v>
      </c>
      <c r="AT91" s="14">
        <f>Assumptions!$B$21*O91/100</f>
        <v>39.951814960294591</v>
      </c>
      <c r="AU91" s="14">
        <f>Assumptions!$B$21*P91/100</f>
        <v>62.74038408854166</v>
      </c>
      <c r="AV91" s="18">
        <f>H91/(K91*Assumptions!$B$9)</f>
        <v>1.0530971971457408</v>
      </c>
      <c r="AW91" s="18">
        <f t="shared" si="32"/>
        <v>7.0734036082830173E-2</v>
      </c>
    </row>
    <row r="92" spans="1:49" x14ac:dyDescent="0.2">
      <c r="A92" s="16">
        <v>512</v>
      </c>
      <c r="B92" s="16">
        <v>128</v>
      </c>
      <c r="C92" s="16">
        <v>5</v>
      </c>
      <c r="D92" s="16">
        <v>100</v>
      </c>
      <c r="E92" s="16">
        <v>30</v>
      </c>
      <c r="F92" s="17">
        <v>99.538957311888197</v>
      </c>
      <c r="G92" s="14">
        <v>29.6431274159265</v>
      </c>
      <c r="H92" s="17">
        <v>530.13706723078099</v>
      </c>
      <c r="I92" s="14">
        <v>79.2</v>
      </c>
      <c r="J92" s="16">
        <v>99</v>
      </c>
      <c r="K92" s="14">
        <v>225.9</v>
      </c>
      <c r="L92" s="14">
        <v>292.3</v>
      </c>
      <c r="M92" s="13">
        <v>87187</v>
      </c>
      <c r="N92" s="13">
        <v>87187</v>
      </c>
      <c r="O92" s="14">
        <v>0.96666666666666701</v>
      </c>
      <c r="P92" s="14">
        <v>1.6</v>
      </c>
      <c r="Q92" s="18">
        <v>0.80119642857142903</v>
      </c>
      <c r="R92" s="18">
        <v>0.99199999999999999</v>
      </c>
      <c r="S92" s="18">
        <v>0.35046428571428601</v>
      </c>
      <c r="T92" s="18">
        <v>0.48599999999999999</v>
      </c>
      <c r="U92" s="18">
        <v>3.3053571428571397E-2</v>
      </c>
      <c r="V92" s="18">
        <v>4.8000000000000001E-2</v>
      </c>
      <c r="W92" s="18">
        <v>8.3517857142857102E-2</v>
      </c>
      <c r="X92" s="18">
        <v>0.11600000000000001</v>
      </c>
      <c r="Y92" s="18">
        <v>0.33067272727272701</v>
      </c>
      <c r="Z92" s="18">
        <v>0.47</v>
      </c>
      <c r="AA92" s="13">
        <v>7745507075.5535698</v>
      </c>
      <c r="AB92" s="13">
        <v>11970527876</v>
      </c>
      <c r="AC92" s="13">
        <v>6896704614.4464302</v>
      </c>
      <c r="AD92" s="13">
        <v>10712983019</v>
      </c>
      <c r="AE92" s="13">
        <f t="shared" si="22"/>
        <v>640</v>
      </c>
      <c r="AF92" s="14">
        <f t="shared" si="23"/>
        <v>20</v>
      </c>
      <c r="AG92" s="14">
        <f t="shared" si="24"/>
        <v>10</v>
      </c>
      <c r="AH92" s="19">
        <f t="shared" si="25"/>
        <v>3.3333333333333335</v>
      </c>
      <c r="AI92" s="19">
        <f t="shared" si="26"/>
        <v>7.7455070755535695</v>
      </c>
      <c r="AJ92" s="19">
        <f t="shared" si="27"/>
        <v>11.970527876</v>
      </c>
      <c r="AK92" s="19">
        <f t="shared" si="28"/>
        <v>6.8967046144464303</v>
      </c>
      <c r="AL92" s="19">
        <f t="shared" si="29"/>
        <v>10.712983018999999</v>
      </c>
      <c r="AM92" s="20">
        <f>AI92/Assumptions!$B$13</f>
        <v>0.12294455675481857</v>
      </c>
      <c r="AN92" s="20">
        <f>AK92/Assumptions!$B$13</f>
        <v>0.10947150181661</v>
      </c>
      <c r="AO92" s="19">
        <f t="shared" si="30"/>
        <v>14.610385793268387</v>
      </c>
      <c r="AP92" s="17">
        <f>H92*Assumptions!$B$16/1000000000000</f>
        <v>74.219189412309348</v>
      </c>
      <c r="AQ92" s="14">
        <f>AP92/Assumptions!$B$9</f>
        <v>18.554797353077337</v>
      </c>
      <c r="AR92" s="20">
        <f>AQ92/Assumptions!$B$11</f>
        <v>1.8554797353077336E-2</v>
      </c>
      <c r="AS92" s="14">
        <f t="shared" si="31"/>
        <v>15.714920631827633</v>
      </c>
      <c r="AT92" s="14">
        <f>Assumptions!$B$21*O92/100</f>
        <v>0.6592286733940973</v>
      </c>
      <c r="AU92" s="14">
        <f>Assumptions!$B$21*P92/100</f>
        <v>1.0911371145833333</v>
      </c>
      <c r="AV92" s="18">
        <f>H92/(K92*Assumptions!$B$9)</f>
        <v>0.58669440817926177</v>
      </c>
      <c r="AW92" s="18">
        <f t="shared" si="32"/>
        <v>9.4313665545704514E-2</v>
      </c>
    </row>
    <row r="93" spans="1:49" x14ac:dyDescent="0.2">
      <c r="A93" s="16">
        <v>512</v>
      </c>
      <c r="B93" s="16">
        <v>128</v>
      </c>
      <c r="C93" s="16">
        <v>10</v>
      </c>
      <c r="D93" s="16">
        <v>100</v>
      </c>
      <c r="E93" s="16">
        <v>21</v>
      </c>
      <c r="F93" s="17">
        <v>89.703888567164498</v>
      </c>
      <c r="G93" s="14">
        <v>34.702810758259403</v>
      </c>
      <c r="H93" s="17">
        <v>870.69512879929005</v>
      </c>
      <c r="I93" s="14">
        <v>72</v>
      </c>
      <c r="J93" s="16">
        <v>100</v>
      </c>
      <c r="K93" s="14">
        <v>204.6</v>
      </c>
      <c r="L93" s="14">
        <v>300.3</v>
      </c>
      <c r="M93" s="13">
        <v>87187</v>
      </c>
      <c r="N93" s="13">
        <v>87187</v>
      </c>
      <c r="O93" s="14">
        <v>1.1000000000000001</v>
      </c>
      <c r="P93" s="14">
        <v>3.3</v>
      </c>
      <c r="Q93" s="18">
        <v>0.73445000000000005</v>
      </c>
      <c r="R93" s="18">
        <v>0.99399999999999999</v>
      </c>
      <c r="S93" s="18">
        <v>0.29152499999999998</v>
      </c>
      <c r="T93" s="18">
        <v>0.50800000000000001</v>
      </c>
      <c r="U93" s="18">
        <v>2.4825E-2</v>
      </c>
      <c r="V93" s="18">
        <v>4.9000000000000002E-2</v>
      </c>
      <c r="W93" s="18">
        <v>6.5475000000000005E-2</v>
      </c>
      <c r="X93" s="18">
        <v>0.10100000000000001</v>
      </c>
      <c r="Y93" s="18">
        <v>0.276225</v>
      </c>
      <c r="Z93" s="18">
        <v>0.499</v>
      </c>
      <c r="AA93" s="13">
        <v>7476056730.8000002</v>
      </c>
      <c r="AB93" s="13">
        <v>13318832449</v>
      </c>
      <c r="AC93" s="13">
        <v>6661737564.2250004</v>
      </c>
      <c r="AD93" s="13">
        <v>11990067681</v>
      </c>
      <c r="AE93" s="13">
        <f t="shared" si="22"/>
        <v>640</v>
      </c>
      <c r="AF93" s="14">
        <f t="shared" si="23"/>
        <v>10</v>
      </c>
      <c r="AG93" s="14">
        <f t="shared" si="24"/>
        <v>11</v>
      </c>
      <c r="AH93" s="19">
        <f t="shared" si="25"/>
        <v>4.7619047619047619</v>
      </c>
      <c r="AI93" s="19">
        <f t="shared" si="26"/>
        <v>7.4760567307999999</v>
      </c>
      <c r="AJ93" s="19">
        <f t="shared" si="27"/>
        <v>13.318832449</v>
      </c>
      <c r="AK93" s="19">
        <f t="shared" si="28"/>
        <v>6.6617375642250005</v>
      </c>
      <c r="AL93" s="19">
        <f t="shared" si="29"/>
        <v>11.990067680999999</v>
      </c>
      <c r="AM93" s="20">
        <f>AI93/Assumptions!$B$13</f>
        <v>0.11866756715555556</v>
      </c>
      <c r="AN93" s="20">
        <f>AK93/Assumptions!$B$13</f>
        <v>0.10574186609880953</v>
      </c>
      <c r="AO93" s="19">
        <f t="shared" si="30"/>
        <v>8.5863082076842066</v>
      </c>
      <c r="AP93" s="17">
        <f>H93*Assumptions!$B$16/1000000000000</f>
        <v>121.89731803190061</v>
      </c>
      <c r="AQ93" s="14">
        <f>AP93/Assumptions!$B$9</f>
        <v>30.474329507975153</v>
      </c>
      <c r="AR93" s="20">
        <f>AQ93/Assumptions!$B$11</f>
        <v>3.0474329507975153E-2</v>
      </c>
      <c r="AS93" s="14">
        <f t="shared" si="31"/>
        <v>30.215568282860058</v>
      </c>
      <c r="AT93" s="14">
        <f>Assumptions!$B$21*O93/100</f>
        <v>0.75015676627604166</v>
      </c>
      <c r="AU93" s="14">
        <f>Assumptions!$B$21*P93/100</f>
        <v>2.2504702988281249</v>
      </c>
      <c r="AV93" s="18">
        <f>H93/(K93*Assumptions!$B$9)</f>
        <v>1.0638992287381355</v>
      </c>
      <c r="AW93" s="18">
        <f t="shared" si="32"/>
        <v>8.5155647028556727E-2</v>
      </c>
    </row>
    <row r="94" spans="1:49" x14ac:dyDescent="0.2">
      <c r="A94" s="16">
        <v>512</v>
      </c>
      <c r="B94" s="16">
        <v>128</v>
      </c>
      <c r="C94" s="16">
        <v>20</v>
      </c>
      <c r="D94" s="16">
        <v>100</v>
      </c>
      <c r="E94" s="16">
        <v>17</v>
      </c>
      <c r="F94" s="17">
        <v>98.503961107344395</v>
      </c>
      <c r="G94" s="14">
        <v>38.391495309489599</v>
      </c>
      <c r="H94" s="17">
        <v>1240.6702872363101</v>
      </c>
      <c r="I94" s="14">
        <v>59.4</v>
      </c>
      <c r="J94" s="16">
        <v>100</v>
      </c>
      <c r="K94" s="14">
        <v>199.3</v>
      </c>
      <c r="L94" s="14">
        <v>320.2</v>
      </c>
      <c r="M94" s="13">
        <v>87187</v>
      </c>
      <c r="N94" s="13">
        <v>87187</v>
      </c>
      <c r="O94" s="14">
        <v>2.1</v>
      </c>
      <c r="P94" s="14">
        <v>2.1</v>
      </c>
      <c r="Q94" s="18">
        <v>0.675875</v>
      </c>
      <c r="R94" s="18">
        <v>0.995</v>
      </c>
      <c r="S94" s="18">
        <v>0.25696875000000002</v>
      </c>
      <c r="T94" s="18">
        <v>0.47799999999999998</v>
      </c>
      <c r="U94" s="18">
        <v>2.1624999999999998E-2</v>
      </c>
      <c r="V94" s="18">
        <v>4.4999999999999998E-2</v>
      </c>
      <c r="W94" s="18">
        <v>7.7031249999999996E-2</v>
      </c>
      <c r="X94" s="18">
        <v>0.17</v>
      </c>
      <c r="Y94" s="18">
        <v>0.24265624999999999</v>
      </c>
      <c r="Z94" s="18">
        <v>0.46500000000000002</v>
      </c>
      <c r="AA94" s="13">
        <v>6593988206.0625</v>
      </c>
      <c r="AB94" s="13">
        <v>12671182164</v>
      </c>
      <c r="AC94" s="13">
        <v>5837311180.34375</v>
      </c>
      <c r="AD94" s="13">
        <v>11295557493</v>
      </c>
      <c r="AE94" s="13">
        <f t="shared" si="22"/>
        <v>640</v>
      </c>
      <c r="AF94" s="14">
        <f t="shared" si="23"/>
        <v>5</v>
      </c>
      <c r="AG94" s="14">
        <f t="shared" si="24"/>
        <v>12</v>
      </c>
      <c r="AH94" s="19">
        <f t="shared" si="25"/>
        <v>5.882352941176471</v>
      </c>
      <c r="AI94" s="19">
        <f t="shared" si="26"/>
        <v>6.5939882060624999</v>
      </c>
      <c r="AJ94" s="19">
        <f t="shared" si="27"/>
        <v>12.671182163999999</v>
      </c>
      <c r="AK94" s="19">
        <f t="shared" si="28"/>
        <v>5.8373111803437503</v>
      </c>
      <c r="AL94" s="19">
        <f t="shared" si="29"/>
        <v>11.295557493</v>
      </c>
      <c r="AM94" s="20">
        <f>AI94/Assumptions!$B$13</f>
        <v>0.10466647946130953</v>
      </c>
      <c r="AN94" s="20">
        <f>AK94/Assumptions!$B$13</f>
        <v>9.2655733021329373E-2</v>
      </c>
      <c r="AO94" s="19">
        <f t="shared" si="30"/>
        <v>5.3148594545220584</v>
      </c>
      <c r="AP94" s="17">
        <f>H94*Assumptions!$B$16/1000000000000</f>
        <v>173.6938402130834</v>
      </c>
      <c r="AQ94" s="14">
        <f>AP94/Assumptions!$B$9</f>
        <v>43.423460053270851</v>
      </c>
      <c r="AR94" s="20">
        <f>AQ94/Assumptions!$B$11</f>
        <v>4.342346005327085E-2</v>
      </c>
      <c r="AS94" s="14">
        <f t="shared" si="31"/>
        <v>47.631187513055913</v>
      </c>
      <c r="AT94" s="14">
        <f>Assumptions!$B$21*O94/100</f>
        <v>1.4321174628906248</v>
      </c>
      <c r="AU94" s="14">
        <f>Assumptions!$B$21*P94/100</f>
        <v>1.4321174628906248</v>
      </c>
      <c r="AV94" s="18">
        <f>H94/(K94*Assumptions!$B$9)</f>
        <v>1.5562848560415328</v>
      </c>
      <c r="AW94" s="18">
        <f t="shared" si="32"/>
        <v>8.415420162957557E-2</v>
      </c>
    </row>
    <row r="95" spans="1:49" x14ac:dyDescent="0.2">
      <c r="A95" s="16">
        <v>512</v>
      </c>
      <c r="B95" s="16">
        <v>128</v>
      </c>
      <c r="C95" s="16">
        <v>50</v>
      </c>
      <c r="D95" s="16">
        <v>100</v>
      </c>
      <c r="E95" s="16">
        <v>15</v>
      </c>
      <c r="F95" s="17">
        <v>103.88139187940401</v>
      </c>
      <c r="G95" s="14">
        <v>41.434154116679601</v>
      </c>
      <c r="H95" s="17">
        <v>1591.6664985417699</v>
      </c>
      <c r="I95" s="14">
        <v>56.6</v>
      </c>
      <c r="J95" s="16">
        <v>100</v>
      </c>
      <c r="K95" s="14">
        <v>180.8</v>
      </c>
      <c r="L95" s="14">
        <v>321.2</v>
      </c>
      <c r="M95" s="13">
        <v>87187</v>
      </c>
      <c r="N95" s="13">
        <v>87187</v>
      </c>
      <c r="O95" s="14">
        <v>1.45</v>
      </c>
      <c r="P95" s="14">
        <v>2.9</v>
      </c>
      <c r="Q95" s="18">
        <v>0.56991666666666696</v>
      </c>
      <c r="R95" s="18">
        <v>0.995</v>
      </c>
      <c r="S95" s="18">
        <v>0.18612500000000001</v>
      </c>
      <c r="T95" s="18">
        <v>0.39300000000000002</v>
      </c>
      <c r="U95" s="18">
        <v>1.4833333333333301E-2</v>
      </c>
      <c r="V95" s="18">
        <v>3.1E-2</v>
      </c>
      <c r="W95" s="18">
        <v>7.4999999999999997E-2</v>
      </c>
      <c r="X95" s="18">
        <v>0.17</v>
      </c>
      <c r="Y95" s="18">
        <v>0.17199999999999999</v>
      </c>
      <c r="Z95" s="18">
        <v>0.35399999999999998</v>
      </c>
      <c r="AA95" s="13">
        <v>6206399292.5</v>
      </c>
      <c r="AB95" s="13">
        <v>12656335801</v>
      </c>
      <c r="AC95" s="13">
        <v>5449182325.4166698</v>
      </c>
      <c r="AD95" s="13">
        <v>11079662771</v>
      </c>
      <c r="AE95" s="13">
        <f t="shared" si="22"/>
        <v>640</v>
      </c>
      <c r="AF95" s="14">
        <f t="shared" si="23"/>
        <v>2</v>
      </c>
      <c r="AG95" s="14">
        <f t="shared" si="24"/>
        <v>13</v>
      </c>
      <c r="AH95" s="19">
        <f t="shared" si="25"/>
        <v>6.666666666666667</v>
      </c>
      <c r="AI95" s="19">
        <f t="shared" si="26"/>
        <v>6.2063992925000004</v>
      </c>
      <c r="AJ95" s="19">
        <f t="shared" si="27"/>
        <v>12.656335801000001</v>
      </c>
      <c r="AK95" s="19">
        <f t="shared" si="28"/>
        <v>5.44918232541667</v>
      </c>
      <c r="AL95" s="19">
        <f t="shared" si="29"/>
        <v>11.079662771000001</v>
      </c>
      <c r="AM95" s="20">
        <f>AI95/Assumptions!$B$13</f>
        <v>9.8514274484126987E-2</v>
      </c>
      <c r="AN95" s="20">
        <f>AK95/Assumptions!$B$13</f>
        <v>8.6494957546296353E-2</v>
      </c>
      <c r="AO95" s="19">
        <f t="shared" si="30"/>
        <v>3.8993088678979482</v>
      </c>
      <c r="AP95" s="17">
        <f>H95*Assumptions!$B$16/1000000000000</f>
        <v>222.83330979584778</v>
      </c>
      <c r="AQ95" s="14">
        <f>AP95/Assumptions!$B$9</f>
        <v>55.708327448961946</v>
      </c>
      <c r="AR95" s="20">
        <f>AQ95/Assumptions!$B$11</f>
        <v>5.5708327448961946E-2</v>
      </c>
      <c r="AS95" s="14">
        <f t="shared" si="31"/>
        <v>65.949355002935476</v>
      </c>
      <c r="AT95" s="14">
        <f>Assumptions!$B$21*O95/100</f>
        <v>0.98884301009114561</v>
      </c>
      <c r="AU95" s="14">
        <f>Assumptions!$B$21*P95/100</f>
        <v>1.9776860201822912</v>
      </c>
      <c r="AV95" s="18">
        <f>H95/(K95*Assumptions!$B$9)</f>
        <v>2.2008662867004558</v>
      </c>
      <c r="AW95" s="18">
        <f t="shared" si="32"/>
        <v>7.9695545108573809E-2</v>
      </c>
    </row>
    <row r="96" spans="1:49" x14ac:dyDescent="0.2">
      <c r="A96" s="16">
        <v>512</v>
      </c>
      <c r="B96" s="16">
        <v>128</v>
      </c>
      <c r="C96" s="16">
        <v>100</v>
      </c>
      <c r="D96" s="16">
        <v>100</v>
      </c>
      <c r="E96" s="16">
        <v>13</v>
      </c>
      <c r="F96" s="17">
        <v>106.89974721055501</v>
      </c>
      <c r="G96" s="14">
        <v>41.925030774493599</v>
      </c>
      <c r="H96" s="17">
        <v>1758.4279109527799</v>
      </c>
      <c r="I96" s="14">
        <v>56.8</v>
      </c>
      <c r="J96" s="16">
        <v>100</v>
      </c>
      <c r="K96" s="14">
        <v>173.1</v>
      </c>
      <c r="L96" s="14">
        <v>286.3</v>
      </c>
      <c r="M96" s="13">
        <v>87187</v>
      </c>
      <c r="N96" s="13">
        <v>87187</v>
      </c>
      <c r="O96" s="14">
        <v>0</v>
      </c>
      <c r="P96" s="14">
        <v>0</v>
      </c>
      <c r="Q96" s="18">
        <v>0.58133333333333304</v>
      </c>
      <c r="R96" s="18">
        <v>0.995</v>
      </c>
      <c r="S96" s="18">
        <v>0.181666666666667</v>
      </c>
      <c r="T96" s="18">
        <v>0.373</v>
      </c>
      <c r="U96" s="18">
        <v>1.4874999999999999E-2</v>
      </c>
      <c r="V96" s="18">
        <v>0.03</v>
      </c>
      <c r="W96" s="18">
        <v>7.3249999999999996E-2</v>
      </c>
      <c r="X96" s="18">
        <v>0.16</v>
      </c>
      <c r="Y96" s="18">
        <v>0.18233333333333299</v>
      </c>
      <c r="Z96" s="18">
        <v>0.36699999999999999</v>
      </c>
      <c r="AA96" s="13">
        <v>6485061334.9166698</v>
      </c>
      <c r="AB96" s="13">
        <v>12635454568</v>
      </c>
      <c r="AC96" s="13">
        <v>5689671759.3333302</v>
      </c>
      <c r="AD96" s="13">
        <v>11061562670</v>
      </c>
      <c r="AE96" s="13">
        <f t="shared" si="22"/>
        <v>640</v>
      </c>
      <c r="AF96" s="14">
        <f t="shared" si="23"/>
        <v>1</v>
      </c>
      <c r="AG96" s="14">
        <f t="shared" si="24"/>
        <v>12</v>
      </c>
      <c r="AH96" s="19">
        <f t="shared" si="25"/>
        <v>7.6923076923076925</v>
      </c>
      <c r="AI96" s="19">
        <f t="shared" si="26"/>
        <v>6.4850613349166695</v>
      </c>
      <c r="AJ96" s="19">
        <f t="shared" si="27"/>
        <v>12.635454568</v>
      </c>
      <c r="AK96" s="19">
        <f t="shared" si="28"/>
        <v>5.6896717593333301</v>
      </c>
      <c r="AL96" s="19">
        <f t="shared" si="29"/>
        <v>11.061562670000001</v>
      </c>
      <c r="AM96" s="20">
        <f>AI96/Assumptions!$B$13</f>
        <v>0.1029374815066138</v>
      </c>
      <c r="AN96" s="20">
        <f>AK96/Assumptions!$B$13</f>
        <v>9.0312250148148102E-2</v>
      </c>
      <c r="AO96" s="19">
        <f t="shared" si="30"/>
        <v>3.6879881708672539</v>
      </c>
      <c r="AP96" s="17">
        <f>H96*Assumptions!$B$16/1000000000000</f>
        <v>246.17990753338918</v>
      </c>
      <c r="AQ96" s="14">
        <f>AP96/Assumptions!$B$9</f>
        <v>61.544976883347296</v>
      </c>
      <c r="AR96" s="20">
        <f>AQ96/Assumptions!$B$11</f>
        <v>6.1544976883347299E-2</v>
      </c>
      <c r="AS96" s="14">
        <f t="shared" si="31"/>
        <v>73.722144281423795</v>
      </c>
      <c r="AT96" s="14">
        <f>Assumptions!$B$21*O96/100</f>
        <v>0</v>
      </c>
      <c r="AU96" s="14">
        <f>Assumptions!$B$21*P96/100</f>
        <v>0</v>
      </c>
      <c r="AV96" s="18">
        <f>H96/(K96*Assumptions!$B$9)</f>
        <v>2.5396128118902079</v>
      </c>
      <c r="AW96" s="18">
        <f t="shared" si="32"/>
        <v>8.1880733944953973E-2</v>
      </c>
    </row>
    <row r="97" spans="1:49" x14ac:dyDescent="0.2">
      <c r="A97" s="16">
        <v>512</v>
      </c>
      <c r="B97" s="16">
        <v>512</v>
      </c>
      <c r="C97" s="16">
        <v>5</v>
      </c>
      <c r="D97" s="16">
        <v>100</v>
      </c>
      <c r="E97" s="16">
        <v>47</v>
      </c>
      <c r="F97" s="17">
        <v>97.651498127379398</v>
      </c>
      <c r="G97" s="14">
        <v>37.696639615487399</v>
      </c>
      <c r="H97" s="17">
        <v>1242.28271052484</v>
      </c>
      <c r="I97" s="14">
        <v>86.9</v>
      </c>
      <c r="J97" s="16">
        <v>100</v>
      </c>
      <c r="K97" s="14">
        <v>246.7</v>
      </c>
      <c r="L97" s="14">
        <v>321.39999999999998</v>
      </c>
      <c r="M97" s="13">
        <v>87187</v>
      </c>
      <c r="N97" s="13">
        <v>87187</v>
      </c>
      <c r="O97" s="14">
        <v>4.5</v>
      </c>
      <c r="P97" s="14">
        <v>8.1999999999999993</v>
      </c>
      <c r="Q97" s="18">
        <v>0.87803260869565203</v>
      </c>
      <c r="R97" s="18">
        <v>0.996</v>
      </c>
      <c r="S97" s="18">
        <v>0.35433695652173902</v>
      </c>
      <c r="T97" s="18">
        <v>0.54800000000000004</v>
      </c>
      <c r="U97" s="18">
        <v>2.97173913043478E-2</v>
      </c>
      <c r="V97" s="18">
        <v>5.3999999999999999E-2</v>
      </c>
      <c r="W97" s="18">
        <v>9.8695652173913004E-2</v>
      </c>
      <c r="X97" s="18">
        <v>0.17299999999999999</v>
      </c>
      <c r="Y97" s="18">
        <v>0.34528260869565203</v>
      </c>
      <c r="Z97" s="18">
        <v>0.55000000000000004</v>
      </c>
      <c r="AA97" s="13">
        <v>9000395649.1413002</v>
      </c>
      <c r="AB97" s="13">
        <v>14465607348</v>
      </c>
      <c r="AC97" s="13">
        <v>7971311744.5760899</v>
      </c>
      <c r="AD97" s="13">
        <v>12990590113</v>
      </c>
      <c r="AE97" s="13">
        <f t="shared" si="22"/>
        <v>1024</v>
      </c>
      <c r="AF97" s="14">
        <f t="shared" si="23"/>
        <v>20</v>
      </c>
      <c r="AG97" s="14">
        <f t="shared" si="24"/>
        <v>27</v>
      </c>
      <c r="AH97" s="19">
        <f t="shared" si="25"/>
        <v>2.1276595744680851</v>
      </c>
      <c r="AI97" s="19">
        <f t="shared" si="26"/>
        <v>9.0003956491413</v>
      </c>
      <c r="AJ97" s="19">
        <f t="shared" si="27"/>
        <v>14.465607348000001</v>
      </c>
      <c r="AK97" s="19">
        <f t="shared" si="28"/>
        <v>7.9713117445760897</v>
      </c>
      <c r="AL97" s="19">
        <f t="shared" si="29"/>
        <v>12.990590113</v>
      </c>
      <c r="AM97" s="20">
        <f>AI97/Assumptions!$B$13</f>
        <v>0.14286342300224286</v>
      </c>
      <c r="AN97" s="20">
        <f>AK97/Assumptions!$B$13</f>
        <v>0.12652875785041412</v>
      </c>
      <c r="AO97" s="19">
        <f t="shared" si="30"/>
        <v>7.2450462144311825</v>
      </c>
      <c r="AP97" s="17">
        <f>H97*Assumptions!$B$16/1000000000000</f>
        <v>173.9195794734776</v>
      </c>
      <c r="AQ97" s="14">
        <f>AP97/Assumptions!$B$9</f>
        <v>43.479894868369399</v>
      </c>
      <c r="AR97" s="20">
        <f>AQ97/Assumptions!$B$11</f>
        <v>4.3479894868369402E-2</v>
      </c>
      <c r="AS97" s="14">
        <f t="shared" si="31"/>
        <v>46.829883639205747</v>
      </c>
      <c r="AT97" s="14">
        <f>Assumptions!$B$21*O97/100</f>
        <v>3.0688231347656245</v>
      </c>
      <c r="AU97" s="14">
        <f>Assumptions!$B$21*P97/100</f>
        <v>5.5920777122395817</v>
      </c>
      <c r="AV97" s="18">
        <f>H97/(K97*Assumptions!$B$9)</f>
        <v>1.2589001930734092</v>
      </c>
      <c r="AW97" s="18">
        <f t="shared" si="32"/>
        <v>8.3867603300714702E-2</v>
      </c>
    </row>
    <row r="98" spans="1:49" x14ac:dyDescent="0.2">
      <c r="A98" s="16">
        <v>512</v>
      </c>
      <c r="B98" s="16">
        <v>512</v>
      </c>
      <c r="C98" s="16">
        <v>10</v>
      </c>
      <c r="D98" s="16">
        <v>100</v>
      </c>
      <c r="E98" s="16">
        <v>40</v>
      </c>
      <c r="F98" s="17">
        <v>98.103975574486</v>
      </c>
      <c r="G98" s="14">
        <v>40.862283220274897</v>
      </c>
      <c r="H98" s="17">
        <v>1519.3748327332801</v>
      </c>
      <c r="I98" s="14">
        <v>84.5</v>
      </c>
      <c r="J98" s="16">
        <v>100</v>
      </c>
      <c r="K98" s="14">
        <v>241.3</v>
      </c>
      <c r="L98" s="14">
        <v>325.5</v>
      </c>
      <c r="M98" s="13">
        <v>87187</v>
      </c>
      <c r="N98" s="13">
        <v>87187</v>
      </c>
      <c r="O98" s="14">
        <v>4.8499999999999996</v>
      </c>
      <c r="P98" s="14">
        <v>9.5</v>
      </c>
      <c r="Q98" s="18">
        <v>0.85982894736842097</v>
      </c>
      <c r="R98" s="18">
        <v>0.996</v>
      </c>
      <c r="S98" s="18">
        <v>0.327223684210526</v>
      </c>
      <c r="T98" s="18">
        <v>0.53400000000000003</v>
      </c>
      <c r="U98" s="18">
        <v>2.7105263157894698E-2</v>
      </c>
      <c r="V98" s="18">
        <v>5.0999999999999997E-2</v>
      </c>
      <c r="W98" s="18">
        <v>0.104684210526316</v>
      </c>
      <c r="X98" s="18">
        <v>0.184</v>
      </c>
      <c r="Y98" s="18">
        <v>0.32182894736842099</v>
      </c>
      <c r="Z98" s="18">
        <v>0.52800000000000002</v>
      </c>
      <c r="AA98" s="13">
        <v>9374851561.0131607</v>
      </c>
      <c r="AB98" s="13">
        <v>13379461309</v>
      </c>
      <c r="AC98" s="13">
        <v>8283593903.8289499</v>
      </c>
      <c r="AD98" s="13">
        <v>11981147210</v>
      </c>
      <c r="AE98" s="13">
        <f t="shared" ref="AE98:AE129" si="33">A98+B98</f>
        <v>1024</v>
      </c>
      <c r="AF98" s="14">
        <f t="shared" ref="AF98:AF129" si="34">D98/C98</f>
        <v>10</v>
      </c>
      <c r="AG98" s="14">
        <f t="shared" ref="AG98:AG129" si="35">E98-AF98</f>
        <v>30</v>
      </c>
      <c r="AH98" s="19">
        <f t="shared" ref="AH98:AH129" si="36">D98/E98</f>
        <v>2.5</v>
      </c>
      <c r="AI98" s="19">
        <f t="shared" ref="AI98:AI129" si="37">AA98/1000000000</f>
        <v>9.3748515610131609</v>
      </c>
      <c r="AJ98" s="19">
        <f t="shared" ref="AJ98:AJ129" si="38">AB98/1000000000</f>
        <v>13.379461309</v>
      </c>
      <c r="AK98" s="19">
        <f t="shared" ref="AK98:AK129" si="39">AC98/1000000000</f>
        <v>8.2835939038289492</v>
      </c>
      <c r="AL98" s="19">
        <f t="shared" ref="AL98:AL129" si="40">AD98/1000000000</f>
        <v>11.98114721</v>
      </c>
      <c r="AM98" s="20">
        <f>AI98/Assumptions!$B$13</f>
        <v>0.14880716763512955</v>
      </c>
      <c r="AN98" s="20">
        <f>AK98/Assumptions!$B$13</f>
        <v>0.13148561752109444</v>
      </c>
      <c r="AO98" s="19">
        <f t="shared" ref="AO98:AO129" si="41">AA98/H98/1000000</f>
        <v>6.17020326982004</v>
      </c>
      <c r="AP98" s="17">
        <f>H98*Assumptions!$B$16/1000000000000</f>
        <v>212.71247658265921</v>
      </c>
      <c r="AQ98" s="14">
        <f>AP98/Assumptions!$B$9</f>
        <v>53.178119145664802</v>
      </c>
      <c r="AR98" s="20">
        <f>AQ98/Assumptions!$B$11</f>
        <v>5.3178119145664803E-2</v>
      </c>
      <c r="AS98" s="14">
        <f t="shared" ref="AS98:AS129" si="42">H98*G98/1000</f>
        <v>62.085124732905086</v>
      </c>
      <c r="AT98" s="14">
        <f>Assumptions!$B$21*O98/100</f>
        <v>3.3075093785807286</v>
      </c>
      <c r="AU98" s="14">
        <f>Assumptions!$B$21*P98/100</f>
        <v>6.4786266178385405</v>
      </c>
      <c r="AV98" s="18">
        <f>H98/(K98*Assumptions!$B$9)</f>
        <v>1.574155442119022</v>
      </c>
      <c r="AW98" s="18">
        <f t="shared" ref="AW98:AW129" si="43">U98/S98</f>
        <v>8.2834050424222885E-2</v>
      </c>
    </row>
    <row r="99" spans="1:49" x14ac:dyDescent="0.2">
      <c r="A99" s="16">
        <v>512</v>
      </c>
      <c r="B99" s="16">
        <v>512</v>
      </c>
      <c r="C99" s="16">
        <v>20</v>
      </c>
      <c r="D99" s="16">
        <v>100</v>
      </c>
      <c r="E99" s="16">
        <v>36</v>
      </c>
      <c r="F99" s="17">
        <v>98.957888333243304</v>
      </c>
      <c r="G99" s="14">
        <v>42.157161150179498</v>
      </c>
      <c r="H99" s="17">
        <v>1707.19892561704</v>
      </c>
      <c r="I99" s="14">
        <v>83</v>
      </c>
      <c r="J99" s="16">
        <v>100</v>
      </c>
      <c r="K99" s="14">
        <v>241.4</v>
      </c>
      <c r="L99" s="14">
        <v>323.3</v>
      </c>
      <c r="M99" s="13">
        <v>87187</v>
      </c>
      <c r="N99" s="13">
        <v>87187</v>
      </c>
      <c r="O99" s="14">
        <v>6.8666666666666698</v>
      </c>
      <c r="P99" s="14">
        <v>9.1</v>
      </c>
      <c r="Q99" s="18">
        <v>0.84799999999999998</v>
      </c>
      <c r="R99" s="18">
        <v>1</v>
      </c>
      <c r="S99" s="18">
        <v>0.30680882352941202</v>
      </c>
      <c r="T99" s="18">
        <v>0.48899999999999999</v>
      </c>
      <c r="U99" s="18">
        <v>2.5220588235294099E-2</v>
      </c>
      <c r="V99" s="18">
        <v>4.4999999999999998E-2</v>
      </c>
      <c r="W99" s="18">
        <v>0.108147058823529</v>
      </c>
      <c r="X99" s="18">
        <v>0.16300000000000001</v>
      </c>
      <c r="Y99" s="18">
        <v>0.30457352941176502</v>
      </c>
      <c r="Z99" s="18">
        <v>0.47299999999999998</v>
      </c>
      <c r="AA99" s="13">
        <v>9510156987.5147095</v>
      </c>
      <c r="AB99" s="13">
        <v>12997241239</v>
      </c>
      <c r="AC99" s="13">
        <v>8364187838.11765</v>
      </c>
      <c r="AD99" s="13">
        <v>11377051278</v>
      </c>
      <c r="AE99" s="13">
        <f t="shared" si="33"/>
        <v>1024</v>
      </c>
      <c r="AF99" s="14">
        <f t="shared" si="34"/>
        <v>5</v>
      </c>
      <c r="AG99" s="14">
        <f t="shared" si="35"/>
        <v>31</v>
      </c>
      <c r="AH99" s="19">
        <f t="shared" si="36"/>
        <v>2.7777777777777777</v>
      </c>
      <c r="AI99" s="19">
        <f t="shared" si="37"/>
        <v>9.5101569875147103</v>
      </c>
      <c r="AJ99" s="19">
        <f t="shared" si="38"/>
        <v>12.997241238999999</v>
      </c>
      <c r="AK99" s="19">
        <f t="shared" si="39"/>
        <v>8.3641878381176493</v>
      </c>
      <c r="AL99" s="19">
        <f t="shared" si="40"/>
        <v>11.377051278</v>
      </c>
      <c r="AM99" s="20">
        <f>AI99/Assumptions!$B$13</f>
        <v>0.15095487281769382</v>
      </c>
      <c r="AN99" s="20">
        <f>AK99/Assumptions!$B$13</f>
        <v>0.13276488631932776</v>
      </c>
      <c r="AO99" s="19">
        <f t="shared" si="41"/>
        <v>5.570620297852761</v>
      </c>
      <c r="AP99" s="17">
        <f>H99*Assumptions!$B$16/1000000000000</f>
        <v>239.00784958638559</v>
      </c>
      <c r="AQ99" s="14">
        <f>AP99/Assumptions!$B$9</f>
        <v>59.751962396596397</v>
      </c>
      <c r="AR99" s="20">
        <f>AQ99/Assumptions!$B$11</f>
        <v>5.97519623965964E-2</v>
      </c>
      <c r="AS99" s="14">
        <f t="shared" si="42"/>
        <v>71.970660222650849</v>
      </c>
      <c r="AT99" s="14">
        <f>Assumptions!$B$21*O99/100</f>
        <v>4.6827967834201409</v>
      </c>
      <c r="AU99" s="14">
        <f>Assumptions!$B$21*P99/100</f>
        <v>6.2058423391927064</v>
      </c>
      <c r="AV99" s="18">
        <f>H99/(K99*Assumptions!$B$9)</f>
        <v>1.7680187713515327</v>
      </c>
      <c r="AW99" s="18">
        <f t="shared" si="43"/>
        <v>8.220294300915483E-2</v>
      </c>
    </row>
    <row r="100" spans="1:49" x14ac:dyDescent="0.2">
      <c r="A100" s="16">
        <v>512</v>
      </c>
      <c r="B100" s="16">
        <v>512</v>
      </c>
      <c r="C100" s="16">
        <v>50</v>
      </c>
      <c r="D100" s="16">
        <v>100</v>
      </c>
      <c r="E100" s="16">
        <v>34</v>
      </c>
      <c r="F100" s="17">
        <v>104.32274510909301</v>
      </c>
      <c r="G100" s="14">
        <v>42.782822785791502</v>
      </c>
      <c r="H100" s="17">
        <v>1833.8422637174899</v>
      </c>
      <c r="I100" s="14">
        <v>82.1</v>
      </c>
      <c r="J100" s="16">
        <v>100</v>
      </c>
      <c r="K100" s="14">
        <v>240.7</v>
      </c>
      <c r="L100" s="14">
        <v>328.5</v>
      </c>
      <c r="M100" s="13">
        <v>87187</v>
      </c>
      <c r="N100" s="13">
        <v>87187</v>
      </c>
      <c r="O100" s="14">
        <v>6.9666666666666703</v>
      </c>
      <c r="P100" s="14">
        <v>9.1</v>
      </c>
      <c r="Q100" s="18">
        <v>0.83506250000000004</v>
      </c>
      <c r="R100" s="18">
        <v>0.996</v>
      </c>
      <c r="S100" s="18">
        <v>0.28987499999999999</v>
      </c>
      <c r="T100" s="18">
        <v>0.45900000000000002</v>
      </c>
      <c r="U100" s="18">
        <v>2.359375E-2</v>
      </c>
      <c r="V100" s="18">
        <v>4.2000000000000003E-2</v>
      </c>
      <c r="W100" s="18">
        <v>0.10881250000000001</v>
      </c>
      <c r="X100" s="18">
        <v>0.16700000000000001</v>
      </c>
      <c r="Y100" s="18">
        <v>0.29390624999999998</v>
      </c>
      <c r="Z100" s="18">
        <v>0.443</v>
      </c>
      <c r="AA100" s="13">
        <v>9753914171.5781193</v>
      </c>
      <c r="AB100" s="13">
        <v>13330021296</v>
      </c>
      <c r="AC100" s="13">
        <v>8564529470.5156298</v>
      </c>
      <c r="AD100" s="13">
        <v>11920506409</v>
      </c>
      <c r="AE100" s="13">
        <f t="shared" si="33"/>
        <v>1024</v>
      </c>
      <c r="AF100" s="14">
        <f t="shared" si="34"/>
        <v>2</v>
      </c>
      <c r="AG100" s="14">
        <f t="shared" si="35"/>
        <v>32</v>
      </c>
      <c r="AH100" s="19">
        <f t="shared" si="36"/>
        <v>2.9411764705882355</v>
      </c>
      <c r="AI100" s="19">
        <f t="shared" si="37"/>
        <v>9.7539141715781188</v>
      </c>
      <c r="AJ100" s="19">
        <f t="shared" si="38"/>
        <v>13.330021296</v>
      </c>
      <c r="AK100" s="19">
        <f t="shared" si="39"/>
        <v>8.5645294705156303</v>
      </c>
      <c r="AL100" s="19">
        <f t="shared" si="40"/>
        <v>11.920506409</v>
      </c>
      <c r="AM100" s="20">
        <f>AI100/Assumptions!$B$13</f>
        <v>0.15482403446949394</v>
      </c>
      <c r="AN100" s="20">
        <f>AK100/Assumptions!$B$13</f>
        <v>0.13594491223040683</v>
      </c>
      <c r="AO100" s="19">
        <f t="shared" si="41"/>
        <v>5.3188403193442513</v>
      </c>
      <c r="AP100" s="17">
        <f>H100*Assumptions!$B$16/1000000000000</f>
        <v>256.73791692044858</v>
      </c>
      <c r="AQ100" s="14">
        <f>AP100/Assumptions!$B$9</f>
        <v>64.184479230112146</v>
      </c>
      <c r="AR100" s="20">
        <f>AQ100/Assumptions!$B$11</f>
        <v>6.418447923011214E-2</v>
      </c>
      <c r="AS100" s="14">
        <f t="shared" si="42"/>
        <v>78.456948585720099</v>
      </c>
      <c r="AT100" s="14">
        <f>Assumptions!$B$21*O100/100</f>
        <v>4.7509928530815992</v>
      </c>
      <c r="AU100" s="14">
        <f>Assumptions!$B$21*P100/100</f>
        <v>6.2058423391927064</v>
      </c>
      <c r="AV100" s="18">
        <f>H100/(K100*Assumptions!$B$9)</f>
        <v>1.9046969918129311</v>
      </c>
      <c r="AW100" s="18">
        <f t="shared" si="43"/>
        <v>8.1392841742130226E-2</v>
      </c>
    </row>
    <row r="101" spans="1:49" x14ac:dyDescent="0.2">
      <c r="A101" s="16">
        <v>512</v>
      </c>
      <c r="B101" s="16">
        <v>512</v>
      </c>
      <c r="C101" s="16">
        <v>100</v>
      </c>
      <c r="D101" s="16">
        <v>100</v>
      </c>
      <c r="E101" s="16">
        <v>33</v>
      </c>
      <c r="F101" s="17">
        <v>108.588896747679</v>
      </c>
      <c r="G101" s="14">
        <v>42.870759143051004</v>
      </c>
      <c r="H101" s="17">
        <v>1878.1130432483401</v>
      </c>
      <c r="I101" s="14">
        <v>82.1</v>
      </c>
      <c r="J101" s="16">
        <v>100</v>
      </c>
      <c r="K101" s="14">
        <v>235.8</v>
      </c>
      <c r="L101" s="14">
        <v>303.5</v>
      </c>
      <c r="M101" s="13">
        <v>87187</v>
      </c>
      <c r="N101" s="13">
        <v>87187</v>
      </c>
      <c r="O101" s="14">
        <v>7.7666666666666702</v>
      </c>
      <c r="P101" s="14">
        <v>9.5</v>
      </c>
      <c r="Q101" s="18">
        <v>0.83084374999999999</v>
      </c>
      <c r="R101" s="18">
        <v>0.996</v>
      </c>
      <c r="S101" s="18">
        <v>0.28804687499999998</v>
      </c>
      <c r="T101" s="18">
        <v>0.47399999999999998</v>
      </c>
      <c r="U101" s="18">
        <v>2.35625E-2</v>
      </c>
      <c r="V101" s="18">
        <v>4.3999999999999997E-2</v>
      </c>
      <c r="W101" s="18">
        <v>0.1075</v>
      </c>
      <c r="X101" s="18">
        <v>0.161</v>
      </c>
      <c r="Y101" s="18">
        <v>0.293828125</v>
      </c>
      <c r="Z101" s="18">
        <v>0.45500000000000002</v>
      </c>
      <c r="AA101" s="13">
        <v>9740891135.7031193</v>
      </c>
      <c r="AB101" s="13">
        <v>12916028425</v>
      </c>
      <c r="AC101" s="13">
        <v>8553293396.90625</v>
      </c>
      <c r="AD101" s="13">
        <v>11651745418</v>
      </c>
      <c r="AE101" s="13">
        <f t="shared" si="33"/>
        <v>1024</v>
      </c>
      <c r="AF101" s="14">
        <f t="shared" si="34"/>
        <v>1</v>
      </c>
      <c r="AG101" s="14">
        <f t="shared" si="35"/>
        <v>32</v>
      </c>
      <c r="AH101" s="19">
        <f t="shared" si="36"/>
        <v>3.0303030303030303</v>
      </c>
      <c r="AI101" s="19">
        <f t="shared" si="37"/>
        <v>9.7408911357031194</v>
      </c>
      <c r="AJ101" s="19">
        <f t="shared" si="38"/>
        <v>12.916028425</v>
      </c>
      <c r="AK101" s="19">
        <f t="shared" si="39"/>
        <v>8.5532933969062501</v>
      </c>
      <c r="AL101" s="19">
        <f t="shared" si="40"/>
        <v>11.651745418000001</v>
      </c>
      <c r="AM101" s="20">
        <f>AI101/Assumptions!$B$13</f>
        <v>0.15461731961433522</v>
      </c>
      <c r="AN101" s="20">
        <f>AK101/Assumptions!$B$13</f>
        <v>0.13576656185565478</v>
      </c>
      <c r="AO101" s="19">
        <f t="shared" si="41"/>
        <v>5.1865307952153419</v>
      </c>
      <c r="AP101" s="17">
        <f>H101*Assumptions!$B$16/1000000000000</f>
        <v>262.93582605476763</v>
      </c>
      <c r="AQ101" s="14">
        <f>AP101/Assumptions!$B$9</f>
        <v>65.733956513691908</v>
      </c>
      <c r="AR101" s="20">
        <f>AQ101/Assumptions!$B$11</f>
        <v>6.5733956513691905E-2</v>
      </c>
      <c r="AS101" s="14">
        <f t="shared" si="42"/>
        <v>80.516131920522128</v>
      </c>
      <c r="AT101" s="14">
        <f>Assumptions!$B$21*O101/100</f>
        <v>5.2965614103732648</v>
      </c>
      <c r="AU101" s="14">
        <f>Assumptions!$B$21*P101/100</f>
        <v>6.4786266178385405</v>
      </c>
      <c r="AV101" s="18">
        <f>H101/(K101*Assumptions!$B$9)</f>
        <v>1.9912139983548982</v>
      </c>
      <c r="AW101" s="18">
        <f t="shared" si="43"/>
        <v>8.1800922158936806E-2</v>
      </c>
    </row>
    <row r="102" spans="1:49" x14ac:dyDescent="0.2">
      <c r="A102" s="16">
        <v>512</v>
      </c>
      <c r="B102" s="16">
        <v>1024</v>
      </c>
      <c r="C102" s="16">
        <v>5</v>
      </c>
      <c r="D102" s="16">
        <v>100</v>
      </c>
      <c r="E102" s="16">
        <v>74</v>
      </c>
      <c r="F102" s="17">
        <v>98.519410453154705</v>
      </c>
      <c r="G102" s="14">
        <v>41.566255035958498</v>
      </c>
      <c r="H102" s="17">
        <v>1498.59607873545</v>
      </c>
      <c r="I102" s="14">
        <v>91.5</v>
      </c>
      <c r="J102" s="16">
        <v>100</v>
      </c>
      <c r="K102" s="14">
        <v>251.9</v>
      </c>
      <c r="L102" s="14">
        <v>319.8</v>
      </c>
      <c r="M102" s="13">
        <v>87187</v>
      </c>
      <c r="N102" s="13">
        <v>87187</v>
      </c>
      <c r="O102" s="14">
        <v>7.5142857142857098</v>
      </c>
      <c r="P102" s="14">
        <v>13.5</v>
      </c>
      <c r="Q102" s="18">
        <v>0.92286111111111102</v>
      </c>
      <c r="R102" s="18">
        <v>0.996</v>
      </c>
      <c r="S102" s="18">
        <v>0.367069444444444</v>
      </c>
      <c r="T102" s="18">
        <v>0.55900000000000005</v>
      </c>
      <c r="U102" s="18">
        <v>3.03356643356643E-2</v>
      </c>
      <c r="V102" s="18">
        <v>5.5E-2</v>
      </c>
      <c r="W102" s="18">
        <v>0.110256944444444</v>
      </c>
      <c r="X102" s="18">
        <v>0.17499999999999999</v>
      </c>
      <c r="Y102" s="18">
        <v>0.36982394366197202</v>
      </c>
      <c r="Z102" s="18">
        <v>0.56100000000000005</v>
      </c>
      <c r="AA102" s="13">
        <v>9863480364.9444504</v>
      </c>
      <c r="AB102" s="13">
        <v>14860776942</v>
      </c>
      <c r="AC102" s="13">
        <v>8698180480.0138893</v>
      </c>
      <c r="AD102" s="13">
        <v>13060204446</v>
      </c>
      <c r="AE102" s="13">
        <f t="shared" si="33"/>
        <v>1536</v>
      </c>
      <c r="AF102" s="14">
        <f t="shared" si="34"/>
        <v>20</v>
      </c>
      <c r="AG102" s="14">
        <f t="shared" si="35"/>
        <v>54</v>
      </c>
      <c r="AH102" s="19">
        <f t="shared" si="36"/>
        <v>1.3513513513513513</v>
      </c>
      <c r="AI102" s="19">
        <f t="shared" si="37"/>
        <v>9.8634803649444507</v>
      </c>
      <c r="AJ102" s="19">
        <f t="shared" si="38"/>
        <v>14.860776941999999</v>
      </c>
      <c r="AK102" s="19">
        <f t="shared" si="39"/>
        <v>8.6981804800138889</v>
      </c>
      <c r="AL102" s="19">
        <f t="shared" si="40"/>
        <v>13.060204446</v>
      </c>
      <c r="AM102" s="20">
        <f>AI102/Assumptions!$B$13</f>
        <v>0.15656318039594366</v>
      </c>
      <c r="AN102" s="20">
        <f>AK102/Assumptions!$B$13</f>
        <v>0.13806635682561727</v>
      </c>
      <c r="AO102" s="19">
        <f t="shared" si="41"/>
        <v>6.581813808873358</v>
      </c>
      <c r="AP102" s="17">
        <f>H102*Assumptions!$B$16/1000000000000</f>
        <v>209.803451022963</v>
      </c>
      <c r="AQ102" s="14">
        <f>AP102/Assumptions!$B$9</f>
        <v>52.450862755740751</v>
      </c>
      <c r="AR102" s="20">
        <f>AQ102/Assumptions!$B$11</f>
        <v>5.2450862755740749E-2</v>
      </c>
      <c r="AS102" s="14">
        <f t="shared" si="42"/>
        <v>62.291026804605053</v>
      </c>
      <c r="AT102" s="14">
        <f>Assumptions!$B$21*O102/100</f>
        <v>5.1244475202752939</v>
      </c>
      <c r="AU102" s="14">
        <f>Assumptions!$B$21*P102/100</f>
        <v>9.2064694042968735</v>
      </c>
      <c r="AV102" s="18">
        <f>H102/(K102*Assumptions!$B$9)</f>
        <v>1.4872926545607879</v>
      </c>
      <c r="AW102" s="18">
        <f t="shared" si="43"/>
        <v>8.2642848089894902E-2</v>
      </c>
    </row>
    <row r="103" spans="1:49" x14ac:dyDescent="0.2">
      <c r="A103" s="16">
        <v>512</v>
      </c>
      <c r="B103" s="16">
        <v>1024</v>
      </c>
      <c r="C103" s="16">
        <v>10</v>
      </c>
      <c r="D103" s="16">
        <v>100</v>
      </c>
      <c r="E103" s="16">
        <v>67</v>
      </c>
      <c r="F103" s="17">
        <v>95.611984449787997</v>
      </c>
      <c r="G103" s="14">
        <v>42.899960648691902</v>
      </c>
      <c r="H103" s="17">
        <v>1682.19486490586</v>
      </c>
      <c r="I103" s="14">
        <v>90.8</v>
      </c>
      <c r="J103" s="16">
        <v>100</v>
      </c>
      <c r="K103" s="14">
        <v>249.2</v>
      </c>
      <c r="L103" s="14">
        <v>312.5</v>
      </c>
      <c r="M103" s="13">
        <v>87187</v>
      </c>
      <c r="N103" s="13">
        <v>87187</v>
      </c>
      <c r="O103" s="14">
        <v>7.95714285714286</v>
      </c>
      <c r="P103" s="14">
        <v>14.1</v>
      </c>
      <c r="Q103" s="18">
        <v>0.91539393939393898</v>
      </c>
      <c r="R103" s="18">
        <v>0.996</v>
      </c>
      <c r="S103" s="18">
        <v>0.35709090909090901</v>
      </c>
      <c r="T103" s="18">
        <v>0.55600000000000005</v>
      </c>
      <c r="U103" s="18">
        <v>2.93030303030303E-2</v>
      </c>
      <c r="V103" s="18">
        <v>5.5E-2</v>
      </c>
      <c r="W103" s="18">
        <v>0.113651515151515</v>
      </c>
      <c r="X103" s="18">
        <v>0.18</v>
      </c>
      <c r="Y103" s="18">
        <v>0.35775000000000001</v>
      </c>
      <c r="Z103" s="18">
        <v>0.55800000000000005</v>
      </c>
      <c r="AA103" s="13">
        <v>9889091053.9848499</v>
      </c>
      <c r="AB103" s="13">
        <v>13384239092</v>
      </c>
      <c r="AC103" s="13">
        <v>8687021413.8333302</v>
      </c>
      <c r="AD103" s="13">
        <v>11864256532</v>
      </c>
      <c r="AE103" s="13">
        <f t="shared" si="33"/>
        <v>1536</v>
      </c>
      <c r="AF103" s="14">
        <f t="shared" si="34"/>
        <v>10</v>
      </c>
      <c r="AG103" s="14">
        <f t="shared" si="35"/>
        <v>57</v>
      </c>
      <c r="AH103" s="19">
        <f t="shared" si="36"/>
        <v>1.4925373134328359</v>
      </c>
      <c r="AI103" s="19">
        <f t="shared" si="37"/>
        <v>9.8890910539848491</v>
      </c>
      <c r="AJ103" s="19">
        <f t="shared" si="38"/>
        <v>13.384239092</v>
      </c>
      <c r="AK103" s="19">
        <f t="shared" si="39"/>
        <v>8.6870214138333299</v>
      </c>
      <c r="AL103" s="19">
        <f t="shared" si="40"/>
        <v>11.864256532000001</v>
      </c>
      <c r="AM103" s="20">
        <f>AI103/Assumptions!$B$13</f>
        <v>0.15696969926960078</v>
      </c>
      <c r="AN103" s="20">
        <f>AK103/Assumptions!$B$13</f>
        <v>0.13788922879100524</v>
      </c>
      <c r="AO103" s="19">
        <f t="shared" si="41"/>
        <v>5.8786834155139749</v>
      </c>
      <c r="AP103" s="17">
        <f>H103*Assumptions!$B$16/1000000000000</f>
        <v>235.5072810868204</v>
      </c>
      <c r="AQ103" s="14">
        <f>AP103/Assumptions!$B$9</f>
        <v>58.8768202717051</v>
      </c>
      <c r="AR103" s="20">
        <f>AQ103/Assumptions!$B$11</f>
        <v>5.8876820271705099E-2</v>
      </c>
      <c r="AS103" s="14">
        <f t="shared" si="42"/>
        <v>72.166093507892981</v>
      </c>
      <c r="AT103" s="14">
        <f>Assumptions!$B$21*O103/100</f>
        <v>5.4264586859188997</v>
      </c>
      <c r="AU103" s="14">
        <f>Assumptions!$B$21*P103/100</f>
        <v>9.6156458222656234</v>
      </c>
      <c r="AV103" s="18">
        <f>H103/(K103*Assumptions!$B$9)</f>
        <v>1.687595169448094</v>
      </c>
      <c r="AW103" s="18">
        <f t="shared" si="43"/>
        <v>8.2060420909708082E-2</v>
      </c>
    </row>
    <row r="104" spans="1:49" x14ac:dyDescent="0.2">
      <c r="A104" s="16">
        <v>512</v>
      </c>
      <c r="B104" s="16">
        <v>1024</v>
      </c>
      <c r="C104" s="16">
        <v>20</v>
      </c>
      <c r="D104" s="16">
        <v>100</v>
      </c>
      <c r="E104" s="16">
        <v>63</v>
      </c>
      <c r="F104" s="17">
        <v>98.887881650007301</v>
      </c>
      <c r="G104" s="14">
        <v>43.603496548700697</v>
      </c>
      <c r="H104" s="17">
        <v>1780.7589138987701</v>
      </c>
      <c r="I104" s="14">
        <v>90.3</v>
      </c>
      <c r="J104" s="16">
        <v>100</v>
      </c>
      <c r="K104" s="14">
        <v>250.5</v>
      </c>
      <c r="L104" s="14">
        <v>321.5</v>
      </c>
      <c r="M104" s="13">
        <v>87187</v>
      </c>
      <c r="N104" s="13">
        <v>87187</v>
      </c>
      <c r="O104" s="14">
        <v>9.25</v>
      </c>
      <c r="P104" s="14">
        <v>14.3</v>
      </c>
      <c r="Q104" s="18">
        <v>0.90991935483871</v>
      </c>
      <c r="R104" s="18">
        <v>0.996</v>
      </c>
      <c r="S104" s="18">
        <v>0.34350806451612897</v>
      </c>
      <c r="T104" s="18">
        <v>0.55700000000000005</v>
      </c>
      <c r="U104" s="18">
        <v>2.7177419354838701E-2</v>
      </c>
      <c r="V104" s="18">
        <v>5.1999999999999998E-2</v>
      </c>
      <c r="W104" s="18">
        <v>0.11488709677419399</v>
      </c>
      <c r="X104" s="18">
        <v>0.161</v>
      </c>
      <c r="Y104" s="18">
        <v>0.34161290322580601</v>
      </c>
      <c r="Z104" s="18">
        <v>0.55000000000000004</v>
      </c>
      <c r="AA104" s="13">
        <v>10216911739.879</v>
      </c>
      <c r="AB104" s="13">
        <v>13815686339</v>
      </c>
      <c r="AC104" s="13">
        <v>8960827978.6371002</v>
      </c>
      <c r="AD104" s="13">
        <v>12169173509</v>
      </c>
      <c r="AE104" s="13">
        <f t="shared" si="33"/>
        <v>1536</v>
      </c>
      <c r="AF104" s="14">
        <f t="shared" si="34"/>
        <v>5</v>
      </c>
      <c r="AG104" s="14">
        <f t="shared" si="35"/>
        <v>58</v>
      </c>
      <c r="AH104" s="19">
        <f t="shared" si="36"/>
        <v>1.5873015873015872</v>
      </c>
      <c r="AI104" s="19">
        <f t="shared" si="37"/>
        <v>10.216911739879</v>
      </c>
      <c r="AJ104" s="19">
        <f t="shared" si="38"/>
        <v>13.815686339000001</v>
      </c>
      <c r="AK104" s="19">
        <f t="shared" si="39"/>
        <v>8.9608279786371003</v>
      </c>
      <c r="AL104" s="19">
        <f t="shared" si="40"/>
        <v>12.169173509</v>
      </c>
      <c r="AM104" s="20">
        <f>AI104/Assumptions!$B$13</f>
        <v>0.1621732022203016</v>
      </c>
      <c r="AN104" s="20">
        <f>AK104/Assumptions!$B$13</f>
        <v>0.14223536474027143</v>
      </c>
      <c r="AO104" s="19">
        <f t="shared" si="41"/>
        <v>5.7373918839525722</v>
      </c>
      <c r="AP104" s="17">
        <f>H104*Assumptions!$B$16/1000000000000</f>
        <v>249.30624794582781</v>
      </c>
      <c r="AQ104" s="14">
        <f>AP104/Assumptions!$B$9</f>
        <v>62.326561986456952</v>
      </c>
      <c r="AR104" s="20">
        <f>AQ104/Assumptions!$B$11</f>
        <v>6.2326561986456953E-2</v>
      </c>
      <c r="AS104" s="14">
        <f t="shared" si="42"/>
        <v>77.647315156253029</v>
      </c>
      <c r="AT104" s="14">
        <f>Assumptions!$B$21*O104/100</f>
        <v>6.3081364436848943</v>
      </c>
      <c r="AU104" s="14">
        <f>Assumptions!$B$21*P104/100</f>
        <v>9.75203796158854</v>
      </c>
      <c r="AV104" s="18">
        <f>H104/(K104*Assumptions!$B$9)</f>
        <v>1.7772045048889922</v>
      </c>
      <c r="AW104" s="18">
        <f t="shared" si="43"/>
        <v>7.9117267284892587E-2</v>
      </c>
    </row>
    <row r="105" spans="1:49" x14ac:dyDescent="0.2">
      <c r="A105" s="16">
        <v>512</v>
      </c>
      <c r="B105" s="16">
        <v>1024</v>
      </c>
      <c r="C105" s="16">
        <v>50</v>
      </c>
      <c r="D105" s="16">
        <v>100</v>
      </c>
      <c r="E105" s="16">
        <v>61</v>
      </c>
      <c r="F105" s="17">
        <v>104.20577658049299</v>
      </c>
      <c r="G105" s="14">
        <v>43.770104127199303</v>
      </c>
      <c r="H105" s="17">
        <v>1845.25591260801</v>
      </c>
      <c r="I105" s="14">
        <v>90.1</v>
      </c>
      <c r="J105" s="16">
        <v>100</v>
      </c>
      <c r="K105" s="14">
        <v>249.1</v>
      </c>
      <c r="L105" s="14">
        <v>320</v>
      </c>
      <c r="M105" s="13">
        <v>87187</v>
      </c>
      <c r="N105" s="13">
        <v>87187</v>
      </c>
      <c r="O105" s="14">
        <v>8.1571428571428601</v>
      </c>
      <c r="P105" s="14">
        <v>14.8</v>
      </c>
      <c r="Q105" s="18">
        <v>0.90833333333333299</v>
      </c>
      <c r="R105" s="18">
        <v>0.996</v>
      </c>
      <c r="S105" s="18">
        <v>0.33577499999999999</v>
      </c>
      <c r="T105" s="18">
        <v>0.53900000000000003</v>
      </c>
      <c r="U105" s="18">
        <v>2.6966666666666601E-2</v>
      </c>
      <c r="V105" s="18">
        <v>0.05</v>
      </c>
      <c r="W105" s="18">
        <v>0.116216666666667</v>
      </c>
      <c r="X105" s="18">
        <v>0.16700000000000001</v>
      </c>
      <c r="Y105" s="18">
        <v>0.34312500000000001</v>
      </c>
      <c r="Z105" s="18">
        <v>0.53100000000000003</v>
      </c>
      <c r="AA105" s="13">
        <v>10404920256.5</v>
      </c>
      <c r="AB105" s="13">
        <v>14007200419</v>
      </c>
      <c r="AC105" s="13">
        <v>9123171682.7999992</v>
      </c>
      <c r="AD105" s="13">
        <v>12317888478</v>
      </c>
      <c r="AE105" s="13">
        <f t="shared" si="33"/>
        <v>1536</v>
      </c>
      <c r="AF105" s="14">
        <f t="shared" si="34"/>
        <v>2</v>
      </c>
      <c r="AG105" s="14">
        <f t="shared" si="35"/>
        <v>59</v>
      </c>
      <c r="AH105" s="19">
        <f t="shared" si="36"/>
        <v>1.639344262295082</v>
      </c>
      <c r="AI105" s="19">
        <f t="shared" si="37"/>
        <v>10.404920256500001</v>
      </c>
      <c r="AJ105" s="19">
        <f t="shared" si="38"/>
        <v>14.007200419</v>
      </c>
      <c r="AK105" s="19">
        <f t="shared" si="39"/>
        <v>9.1231716827999989</v>
      </c>
      <c r="AL105" s="19">
        <f t="shared" si="40"/>
        <v>12.317888478</v>
      </c>
      <c r="AM105" s="20">
        <f>AI105/Assumptions!$B$13</f>
        <v>0.1651574643888889</v>
      </c>
      <c r="AN105" s="20">
        <f>AK105/Assumptions!$B$13</f>
        <v>0.1448122489333333</v>
      </c>
      <c r="AO105" s="19">
        <f t="shared" si="41"/>
        <v>5.6387410469229211</v>
      </c>
      <c r="AP105" s="17">
        <f>H105*Assumptions!$B$16/1000000000000</f>
        <v>258.33582776512139</v>
      </c>
      <c r="AQ105" s="14">
        <f>AP105/Assumptions!$B$9</f>
        <v>64.583956941280348</v>
      </c>
      <c r="AR105" s="20">
        <f>AQ105/Assumptions!$B$11</f>
        <v>6.4583956941280343E-2</v>
      </c>
      <c r="AS105" s="14">
        <f t="shared" si="42"/>
        <v>80.767043436182774</v>
      </c>
      <c r="AT105" s="14">
        <f>Assumptions!$B$21*O105/100</f>
        <v>5.5628508252418172</v>
      </c>
      <c r="AU105" s="14">
        <f>Assumptions!$B$21*P105/100</f>
        <v>10.093018309895832</v>
      </c>
      <c r="AV105" s="18">
        <f>H105/(K105*Assumptions!$B$9)</f>
        <v>1.8519228348133381</v>
      </c>
      <c r="AW105" s="18">
        <f t="shared" si="43"/>
        <v>8.0311716675352848E-2</v>
      </c>
    </row>
    <row r="106" spans="1:49" x14ac:dyDescent="0.2">
      <c r="A106" s="16">
        <v>512</v>
      </c>
      <c r="B106" s="16">
        <v>1024</v>
      </c>
      <c r="C106" s="16">
        <v>100</v>
      </c>
      <c r="D106" s="16">
        <v>100</v>
      </c>
      <c r="E106" s="16">
        <v>61</v>
      </c>
      <c r="F106" s="17">
        <v>110.40510739781899</v>
      </c>
      <c r="G106" s="14">
        <v>43.8800908368138</v>
      </c>
      <c r="H106" s="17">
        <v>1859.7528901089199</v>
      </c>
      <c r="I106" s="14">
        <v>90.2</v>
      </c>
      <c r="J106" s="16">
        <v>100</v>
      </c>
      <c r="K106" s="14">
        <v>249.7</v>
      </c>
      <c r="L106" s="14">
        <v>295.39999999999998</v>
      </c>
      <c r="M106" s="13">
        <v>87187</v>
      </c>
      <c r="N106" s="13">
        <v>87187</v>
      </c>
      <c r="O106" s="14">
        <v>8.9833333333333307</v>
      </c>
      <c r="P106" s="14">
        <v>13.8</v>
      </c>
      <c r="Q106" s="18">
        <v>0.91162500000000002</v>
      </c>
      <c r="R106" s="18">
        <v>0.996</v>
      </c>
      <c r="S106" s="18">
        <v>0.33605833333333301</v>
      </c>
      <c r="T106" s="18">
        <v>0.54600000000000004</v>
      </c>
      <c r="U106" s="18">
        <v>2.7074999999999998E-2</v>
      </c>
      <c r="V106" s="18">
        <v>5.0999999999999997E-2</v>
      </c>
      <c r="W106" s="18">
        <v>0.11573333333333299</v>
      </c>
      <c r="X106" s="18">
        <v>0.16300000000000001</v>
      </c>
      <c r="Y106" s="18">
        <v>0.34397499999999998</v>
      </c>
      <c r="Z106" s="18">
        <v>0.53900000000000003</v>
      </c>
      <c r="AA106" s="13">
        <v>10340011187.233299</v>
      </c>
      <c r="AB106" s="13">
        <v>13843357530</v>
      </c>
      <c r="AC106" s="13">
        <v>9071974435.0083294</v>
      </c>
      <c r="AD106" s="13">
        <v>12299551279</v>
      </c>
      <c r="AE106" s="13">
        <f t="shared" si="33"/>
        <v>1536</v>
      </c>
      <c r="AF106" s="14">
        <f t="shared" si="34"/>
        <v>1</v>
      </c>
      <c r="AG106" s="14">
        <f t="shared" si="35"/>
        <v>60</v>
      </c>
      <c r="AH106" s="19">
        <f t="shared" si="36"/>
        <v>1.639344262295082</v>
      </c>
      <c r="AI106" s="19">
        <f t="shared" si="37"/>
        <v>10.3400111872333</v>
      </c>
      <c r="AJ106" s="19">
        <f t="shared" si="38"/>
        <v>13.84335753</v>
      </c>
      <c r="AK106" s="19">
        <f t="shared" si="39"/>
        <v>9.0719744350083289</v>
      </c>
      <c r="AL106" s="19">
        <f t="shared" si="40"/>
        <v>12.299551278999999</v>
      </c>
      <c r="AM106" s="20">
        <f>AI106/Assumptions!$B$13</f>
        <v>0.16412716170211586</v>
      </c>
      <c r="AN106" s="20">
        <f>AK106/Assumptions!$B$13</f>
        <v>0.14399959420648142</v>
      </c>
      <c r="AO106" s="19">
        <f t="shared" si="41"/>
        <v>5.5598844568149683</v>
      </c>
      <c r="AP106" s="17">
        <f>H106*Assumptions!$B$16/1000000000000</f>
        <v>260.36540461524879</v>
      </c>
      <c r="AQ106" s="14">
        <f>AP106/Assumptions!$B$9</f>
        <v>65.091351153812198</v>
      </c>
      <c r="AR106" s="20">
        <f>AQ106/Assumptions!$B$11</f>
        <v>6.5091351153812205E-2</v>
      </c>
      <c r="AS106" s="14">
        <f t="shared" si="42"/>
        <v>81.606125752006392</v>
      </c>
      <c r="AT106" s="14">
        <f>Assumptions!$B$21*O106/100</f>
        <v>6.1262802579210041</v>
      </c>
      <c r="AU106" s="14">
        <f>Assumptions!$B$21*P106/100</f>
        <v>9.4110576132812493</v>
      </c>
      <c r="AV106" s="18">
        <f>H106/(K106*Assumptions!$B$9)</f>
        <v>1.8619872748387265</v>
      </c>
      <c r="AW106" s="18">
        <f t="shared" si="43"/>
        <v>8.0566369925856196E-2</v>
      </c>
    </row>
    <row r="107" spans="1:49" x14ac:dyDescent="0.2">
      <c r="A107" s="16">
        <v>512</v>
      </c>
      <c r="B107" s="16">
        <v>2048</v>
      </c>
      <c r="C107" s="16">
        <v>5</v>
      </c>
      <c r="D107" s="16">
        <v>100</v>
      </c>
      <c r="E107" s="16">
        <v>134</v>
      </c>
      <c r="F107" s="17">
        <v>125.099873252912</v>
      </c>
      <c r="G107" s="14">
        <v>45.598968407005998</v>
      </c>
      <c r="H107" s="17">
        <v>1599.2708150134699</v>
      </c>
      <c r="I107" s="14">
        <v>95.2</v>
      </c>
      <c r="J107" s="16">
        <v>100</v>
      </c>
      <c r="K107" s="14">
        <v>263.10000000000002</v>
      </c>
      <c r="L107" s="14">
        <v>307.89999999999998</v>
      </c>
      <c r="M107" s="13">
        <v>87185</v>
      </c>
      <c r="N107" s="13">
        <v>87185</v>
      </c>
      <c r="O107" s="14">
        <v>13.4384615384615</v>
      </c>
      <c r="P107" s="14">
        <v>22.5</v>
      </c>
      <c r="Q107" s="18">
        <v>0.95609090909090899</v>
      </c>
      <c r="R107" s="18">
        <v>1</v>
      </c>
      <c r="S107" s="18">
        <v>0.39601893939393901</v>
      </c>
      <c r="T107" s="18">
        <v>0.56299999999999994</v>
      </c>
      <c r="U107" s="18">
        <v>3.17916666666666E-2</v>
      </c>
      <c r="V107" s="18">
        <v>5.5E-2</v>
      </c>
      <c r="W107" s="18">
        <v>0.123034090909091</v>
      </c>
      <c r="X107" s="18">
        <v>0.182</v>
      </c>
      <c r="Y107" s="18">
        <v>0.39419318181818203</v>
      </c>
      <c r="Z107" s="18">
        <v>0.57999999999999996</v>
      </c>
      <c r="AA107" s="13">
        <v>10230813323.1439</v>
      </c>
      <c r="AB107" s="13">
        <v>15401094531</v>
      </c>
      <c r="AC107" s="13">
        <v>8978721315.65909</v>
      </c>
      <c r="AD107" s="13">
        <v>13588651728</v>
      </c>
      <c r="AE107" s="13">
        <f t="shared" si="33"/>
        <v>2560</v>
      </c>
      <c r="AF107" s="14">
        <f t="shared" si="34"/>
        <v>20</v>
      </c>
      <c r="AG107" s="14">
        <f t="shared" si="35"/>
        <v>114</v>
      </c>
      <c r="AH107" s="19">
        <f t="shared" si="36"/>
        <v>0.74626865671641796</v>
      </c>
      <c r="AI107" s="19">
        <f t="shared" si="37"/>
        <v>10.2308133231439</v>
      </c>
      <c r="AJ107" s="19">
        <f t="shared" si="38"/>
        <v>15.401094531</v>
      </c>
      <c r="AK107" s="19">
        <f t="shared" si="39"/>
        <v>8.9787213156590902</v>
      </c>
      <c r="AL107" s="19">
        <f t="shared" si="40"/>
        <v>13.588651728</v>
      </c>
      <c r="AM107" s="20">
        <f>AI107/Assumptions!$B$13</f>
        <v>0.16239386227212541</v>
      </c>
      <c r="AN107" s="20">
        <f>AK107/Assumptions!$B$13</f>
        <v>0.14251938596284269</v>
      </c>
      <c r="AO107" s="19">
        <f t="shared" si="41"/>
        <v>6.3971737788873053</v>
      </c>
      <c r="AP107" s="17">
        <f>H107*Assumptions!$B$16/1000000000000</f>
        <v>223.89791410188579</v>
      </c>
      <c r="AQ107" s="14">
        <f>AP107/Assumptions!$B$9</f>
        <v>55.974478525471447</v>
      </c>
      <c r="AR107" s="20">
        <f>AQ107/Assumptions!$B$11</f>
        <v>5.5974478525471445E-2</v>
      </c>
      <c r="AS107" s="14">
        <f t="shared" si="42"/>
        <v>72.925099368045949</v>
      </c>
      <c r="AT107" s="14">
        <f>Assumptions!$B$21*O107/100</f>
        <v>9.1645025921974881</v>
      </c>
      <c r="AU107" s="14">
        <f>Assumptions!$B$21*P107/100</f>
        <v>15.344115673828123</v>
      </c>
      <c r="AV107" s="18">
        <f>H107/(K107*Assumptions!$B$9)</f>
        <v>1.5196415954137874</v>
      </c>
      <c r="AW107" s="18">
        <f t="shared" si="43"/>
        <v>8.0278147088924723E-2</v>
      </c>
    </row>
    <row r="108" spans="1:49" x14ac:dyDescent="0.2">
      <c r="A108" s="16">
        <v>512</v>
      </c>
      <c r="B108" s="16">
        <v>2048</v>
      </c>
      <c r="C108" s="16">
        <v>10</v>
      </c>
      <c r="D108" s="16">
        <v>100</v>
      </c>
      <c r="E108" s="16">
        <v>126</v>
      </c>
      <c r="F108" s="17">
        <v>96.033512748544993</v>
      </c>
      <c r="G108" s="14">
        <v>45.709757388398302</v>
      </c>
      <c r="H108" s="17">
        <v>1698.41887746304</v>
      </c>
      <c r="I108" s="14">
        <v>95</v>
      </c>
      <c r="J108" s="16">
        <v>100</v>
      </c>
      <c r="K108" s="14">
        <v>261.89999999999998</v>
      </c>
      <c r="L108" s="14">
        <v>307.60000000000002</v>
      </c>
      <c r="M108" s="13">
        <v>87185</v>
      </c>
      <c r="N108" s="13">
        <v>87185</v>
      </c>
      <c r="O108" s="14">
        <v>13.4692307692308</v>
      </c>
      <c r="P108" s="14">
        <v>22.7</v>
      </c>
      <c r="Q108" s="18">
        <v>0.95507258064516098</v>
      </c>
      <c r="R108" s="18">
        <v>0.997</v>
      </c>
      <c r="S108" s="18">
        <v>0.39075403225806499</v>
      </c>
      <c r="T108" s="18">
        <v>0.56399999999999995</v>
      </c>
      <c r="U108" s="18">
        <v>3.0995967741935401E-2</v>
      </c>
      <c r="V108" s="18">
        <v>5.2999999999999999E-2</v>
      </c>
      <c r="W108" s="18">
        <v>0.12225</v>
      </c>
      <c r="X108" s="18">
        <v>0.17399999999999999</v>
      </c>
      <c r="Y108" s="18">
        <v>0.39524596774193599</v>
      </c>
      <c r="Z108" s="18">
        <v>0.56000000000000005</v>
      </c>
      <c r="AA108" s="13">
        <v>10159438712.286301</v>
      </c>
      <c r="AB108" s="13">
        <v>13372512076</v>
      </c>
      <c r="AC108" s="13">
        <v>8897979752.4758091</v>
      </c>
      <c r="AD108" s="13">
        <v>11812242081</v>
      </c>
      <c r="AE108" s="13">
        <f t="shared" si="33"/>
        <v>2560</v>
      </c>
      <c r="AF108" s="14">
        <f t="shared" si="34"/>
        <v>10</v>
      </c>
      <c r="AG108" s="14">
        <f t="shared" si="35"/>
        <v>116</v>
      </c>
      <c r="AH108" s="19">
        <f t="shared" si="36"/>
        <v>0.79365079365079361</v>
      </c>
      <c r="AI108" s="19">
        <f t="shared" si="37"/>
        <v>10.159438712286301</v>
      </c>
      <c r="AJ108" s="19">
        <f t="shared" si="38"/>
        <v>13.372512076</v>
      </c>
      <c r="AK108" s="19">
        <f t="shared" si="39"/>
        <v>8.8979797524758091</v>
      </c>
      <c r="AL108" s="19">
        <f t="shared" si="40"/>
        <v>11.812242081000001</v>
      </c>
      <c r="AM108" s="20">
        <f>AI108/Assumptions!$B$13</f>
        <v>0.1612609319410524</v>
      </c>
      <c r="AN108" s="20">
        <f>AK108/Assumptions!$B$13</f>
        <v>0.14123777384882236</v>
      </c>
      <c r="AO108" s="19">
        <f t="shared" si="41"/>
        <v>5.9817038347228246</v>
      </c>
      <c r="AP108" s="17">
        <f>H108*Assumptions!$B$16/1000000000000</f>
        <v>237.77864284482558</v>
      </c>
      <c r="AQ108" s="14">
        <f>AP108/Assumptions!$B$9</f>
        <v>59.444660711206396</v>
      </c>
      <c r="AR108" s="20">
        <f>AQ108/Assumptions!$B$11</f>
        <v>5.9444660711206396E-2</v>
      </c>
      <c r="AS108" s="14">
        <f t="shared" si="42"/>
        <v>77.63431483271134</v>
      </c>
      <c r="AT108" s="14">
        <f>Assumptions!$B$21*O108/100</f>
        <v>9.1854859982472146</v>
      </c>
      <c r="AU108" s="14">
        <f>Assumptions!$B$21*P108/100</f>
        <v>15.480507813151039</v>
      </c>
      <c r="AV108" s="18">
        <f>H108/(K108*Assumptions!$B$9)</f>
        <v>1.6212474966237496</v>
      </c>
      <c r="AW108" s="18">
        <f t="shared" si="43"/>
        <v>7.9323475084358927E-2</v>
      </c>
    </row>
    <row r="109" spans="1:49" x14ac:dyDescent="0.2">
      <c r="A109" s="16">
        <v>512</v>
      </c>
      <c r="B109" s="16">
        <v>2048</v>
      </c>
      <c r="C109" s="16">
        <v>20</v>
      </c>
      <c r="D109" s="16">
        <v>100</v>
      </c>
      <c r="E109" s="16">
        <v>123</v>
      </c>
      <c r="F109" s="17">
        <v>99.197057463461505</v>
      </c>
      <c r="G109" s="14">
        <v>45.9715790345955</v>
      </c>
      <c r="H109" s="17">
        <v>1746.99292570583</v>
      </c>
      <c r="I109" s="14">
        <v>95</v>
      </c>
      <c r="J109" s="16">
        <v>100</v>
      </c>
      <c r="K109" s="14">
        <v>261.39999999999998</v>
      </c>
      <c r="L109" s="14">
        <v>307.2</v>
      </c>
      <c r="M109" s="13">
        <v>87185</v>
      </c>
      <c r="N109" s="13">
        <v>87185</v>
      </c>
      <c r="O109" s="14">
        <v>14.716666666666701</v>
      </c>
      <c r="P109" s="14">
        <v>23</v>
      </c>
      <c r="Q109" s="18">
        <v>0.95029918032786898</v>
      </c>
      <c r="R109" s="18">
        <v>0.997</v>
      </c>
      <c r="S109" s="18">
        <v>0.38493852459016398</v>
      </c>
      <c r="T109" s="18">
        <v>0.56299999999999994</v>
      </c>
      <c r="U109" s="18">
        <v>2.9811475409835999E-2</v>
      </c>
      <c r="V109" s="18">
        <v>5.2999999999999999E-2</v>
      </c>
      <c r="W109" s="18">
        <v>0.12318852459016399</v>
      </c>
      <c r="X109" s="18">
        <v>0.16</v>
      </c>
      <c r="Y109" s="18">
        <v>0.38765573770491801</v>
      </c>
      <c r="Z109" s="18">
        <v>0.55800000000000005</v>
      </c>
      <c r="AA109" s="13">
        <v>10290188994.9918</v>
      </c>
      <c r="AB109" s="13">
        <v>13220994563</v>
      </c>
      <c r="AC109" s="13">
        <v>9025411539.5368805</v>
      </c>
      <c r="AD109" s="13">
        <v>11681133172</v>
      </c>
      <c r="AE109" s="13">
        <f t="shared" si="33"/>
        <v>2560</v>
      </c>
      <c r="AF109" s="14">
        <f t="shared" si="34"/>
        <v>5</v>
      </c>
      <c r="AG109" s="14">
        <f t="shared" si="35"/>
        <v>118</v>
      </c>
      <c r="AH109" s="19">
        <f t="shared" si="36"/>
        <v>0.81300813008130079</v>
      </c>
      <c r="AI109" s="19">
        <f t="shared" si="37"/>
        <v>10.2901889949918</v>
      </c>
      <c r="AJ109" s="19">
        <f t="shared" si="38"/>
        <v>13.220994563</v>
      </c>
      <c r="AK109" s="19">
        <f t="shared" si="39"/>
        <v>9.025411539536881</v>
      </c>
      <c r="AL109" s="19">
        <f t="shared" si="40"/>
        <v>11.681133171999999</v>
      </c>
      <c r="AM109" s="20">
        <f>AI109/Assumptions!$B$13</f>
        <v>0.16333633325383809</v>
      </c>
      <c r="AN109" s="20">
        <f>AK109/Assumptions!$B$13</f>
        <v>0.14326050062756954</v>
      </c>
      <c r="AO109" s="19">
        <f t="shared" si="41"/>
        <v>5.8902293441367544</v>
      </c>
      <c r="AP109" s="17">
        <f>H109*Assumptions!$B$16/1000000000000</f>
        <v>244.57900959881619</v>
      </c>
      <c r="AQ109" s="14">
        <f>AP109/Assumptions!$B$9</f>
        <v>61.144752399704046</v>
      </c>
      <c r="AR109" s="20">
        <f>AQ109/Assumptions!$B$11</f>
        <v>6.1144752399704044E-2</v>
      </c>
      <c r="AS109" s="14">
        <f t="shared" si="42"/>
        <v>80.312023356964787</v>
      </c>
      <c r="AT109" s="14">
        <f>Assumptions!$B$21*O109/100</f>
        <v>10.03618825184464</v>
      </c>
      <c r="AU109" s="14">
        <f>Assumptions!$B$21*P109/100</f>
        <v>15.685096022135415</v>
      </c>
      <c r="AV109" s="18">
        <f>H109/(K109*Assumptions!$B$9)</f>
        <v>1.6708042518227144</v>
      </c>
      <c r="AW109" s="18">
        <f t="shared" si="43"/>
        <v>7.7444769763108684E-2</v>
      </c>
    </row>
    <row r="110" spans="1:49" x14ac:dyDescent="0.2">
      <c r="A110" s="16">
        <v>512</v>
      </c>
      <c r="B110" s="16">
        <v>2048</v>
      </c>
      <c r="C110" s="16">
        <v>50</v>
      </c>
      <c r="D110" s="16">
        <v>100</v>
      </c>
      <c r="E110" s="16">
        <v>121</v>
      </c>
      <c r="F110" s="17">
        <v>104.252520586015</v>
      </c>
      <c r="G110" s="14">
        <v>46.032857539377297</v>
      </c>
      <c r="H110" s="17">
        <v>1771.98420864332</v>
      </c>
      <c r="I110" s="14">
        <v>94.9</v>
      </c>
      <c r="J110" s="16">
        <v>100</v>
      </c>
      <c r="K110" s="14">
        <v>261</v>
      </c>
      <c r="L110" s="14">
        <v>308.2</v>
      </c>
      <c r="M110" s="13">
        <v>87185</v>
      </c>
      <c r="N110" s="13">
        <v>87185</v>
      </c>
      <c r="O110" s="14">
        <v>13.5230769230769</v>
      </c>
      <c r="P110" s="14">
        <v>23.1</v>
      </c>
      <c r="Q110" s="18">
        <v>0.95226666666666704</v>
      </c>
      <c r="R110" s="18">
        <v>0.997</v>
      </c>
      <c r="S110" s="18">
        <v>0.38301249999999998</v>
      </c>
      <c r="T110" s="18">
        <v>0.55500000000000005</v>
      </c>
      <c r="U110" s="18">
        <v>2.9970833333333301E-2</v>
      </c>
      <c r="V110" s="18">
        <v>5.1999999999999998E-2</v>
      </c>
      <c r="W110" s="18">
        <v>0.123504166666667</v>
      </c>
      <c r="X110" s="18">
        <v>0.161</v>
      </c>
      <c r="Y110" s="18">
        <v>0.39028750000000001</v>
      </c>
      <c r="Z110" s="18">
        <v>0.55200000000000005</v>
      </c>
      <c r="AA110" s="13">
        <v>10326183601.674999</v>
      </c>
      <c r="AB110" s="13">
        <v>13445719448</v>
      </c>
      <c r="AC110" s="13">
        <v>9053357010.7666702</v>
      </c>
      <c r="AD110" s="13">
        <v>11770312099</v>
      </c>
      <c r="AE110" s="13">
        <f t="shared" si="33"/>
        <v>2560</v>
      </c>
      <c r="AF110" s="14">
        <f t="shared" si="34"/>
        <v>2</v>
      </c>
      <c r="AG110" s="14">
        <f t="shared" si="35"/>
        <v>119</v>
      </c>
      <c r="AH110" s="19">
        <f t="shared" si="36"/>
        <v>0.82644628099173556</v>
      </c>
      <c r="AI110" s="19">
        <f t="shared" si="37"/>
        <v>10.326183601675</v>
      </c>
      <c r="AJ110" s="19">
        <f t="shared" si="38"/>
        <v>13.445719448</v>
      </c>
      <c r="AK110" s="19">
        <f t="shared" si="39"/>
        <v>9.0533570107666694</v>
      </c>
      <c r="AL110" s="19">
        <f t="shared" si="40"/>
        <v>11.770312099</v>
      </c>
      <c r="AM110" s="20">
        <f>AI110/Assumptions!$B$13</f>
        <v>0.16390767621706348</v>
      </c>
      <c r="AN110" s="20">
        <f>AK110/Assumptions!$B$13</f>
        <v>0.14370407953597888</v>
      </c>
      <c r="AO110" s="19">
        <f t="shared" si="41"/>
        <v>5.8274693145155112</v>
      </c>
      <c r="AP110" s="17">
        <f>H110*Assumptions!$B$16/1000000000000</f>
        <v>248.07778921006482</v>
      </c>
      <c r="AQ110" s="14">
        <f>AP110/Assumptions!$B$9</f>
        <v>62.019447302516205</v>
      </c>
      <c r="AR110" s="20">
        <f>AQ110/Assumptions!$B$11</f>
        <v>6.2019447302516205E-2</v>
      </c>
      <c r="AS110" s="14">
        <f t="shared" si="42"/>
        <v>81.569496638504162</v>
      </c>
      <c r="AT110" s="14">
        <f>Assumptions!$B$21*O110/100</f>
        <v>9.2222069588341178</v>
      </c>
      <c r="AU110" s="14">
        <f>Assumptions!$B$21*P110/100</f>
        <v>15.753292091796874</v>
      </c>
      <c r="AV110" s="18">
        <f>H110/(K110*Assumptions!$B$9)</f>
        <v>1.6973028818422606</v>
      </c>
      <c r="AW110" s="18">
        <f t="shared" si="43"/>
        <v>7.8250274686422247E-2</v>
      </c>
    </row>
    <row r="111" spans="1:49" x14ac:dyDescent="0.2">
      <c r="A111" s="16">
        <v>512</v>
      </c>
      <c r="B111" s="16">
        <v>2048</v>
      </c>
      <c r="C111" s="16">
        <v>100</v>
      </c>
      <c r="D111" s="16">
        <v>100</v>
      </c>
      <c r="E111" s="16">
        <v>121</v>
      </c>
      <c r="F111" s="17">
        <v>109.23918822663801</v>
      </c>
      <c r="G111" s="14">
        <v>46.0493037359875</v>
      </c>
      <c r="H111" s="17">
        <v>1780.4996891747701</v>
      </c>
      <c r="I111" s="14">
        <v>94.7</v>
      </c>
      <c r="J111" s="16">
        <v>100</v>
      </c>
      <c r="K111" s="14">
        <v>260.39999999999998</v>
      </c>
      <c r="L111" s="14">
        <v>310.8</v>
      </c>
      <c r="M111" s="13">
        <v>87185</v>
      </c>
      <c r="N111" s="13">
        <v>87185</v>
      </c>
      <c r="O111" s="14">
        <v>15.736363636363601</v>
      </c>
      <c r="P111" s="14">
        <v>23.4</v>
      </c>
      <c r="Q111" s="18">
        <v>0.95294999999999996</v>
      </c>
      <c r="R111" s="18">
        <v>1</v>
      </c>
      <c r="S111" s="18">
        <v>0.38290416666666699</v>
      </c>
      <c r="T111" s="18">
        <v>0.56200000000000006</v>
      </c>
      <c r="U111" s="18">
        <v>2.99458333333333E-2</v>
      </c>
      <c r="V111" s="18">
        <v>5.3999999999999999E-2</v>
      </c>
      <c r="W111" s="18">
        <v>0.123204166666667</v>
      </c>
      <c r="X111" s="18">
        <v>0.16</v>
      </c>
      <c r="Y111" s="18">
        <v>0.390666666666667</v>
      </c>
      <c r="Z111" s="18">
        <v>0.55300000000000005</v>
      </c>
      <c r="AA111" s="13">
        <v>10303628976.825001</v>
      </c>
      <c r="AB111" s="13">
        <v>13136354114</v>
      </c>
      <c r="AC111" s="13">
        <v>9034258727.6083298</v>
      </c>
      <c r="AD111" s="13">
        <v>11610141035</v>
      </c>
      <c r="AE111" s="13">
        <f t="shared" si="33"/>
        <v>2560</v>
      </c>
      <c r="AF111" s="14">
        <f t="shared" si="34"/>
        <v>1</v>
      </c>
      <c r="AG111" s="14">
        <f t="shared" si="35"/>
        <v>120</v>
      </c>
      <c r="AH111" s="19">
        <f t="shared" si="36"/>
        <v>0.82644628099173556</v>
      </c>
      <c r="AI111" s="19">
        <f t="shared" si="37"/>
        <v>10.303628976825001</v>
      </c>
      <c r="AJ111" s="19">
        <f t="shared" si="38"/>
        <v>13.136354114</v>
      </c>
      <c r="AK111" s="19">
        <f t="shared" si="39"/>
        <v>9.0342587276083304</v>
      </c>
      <c r="AL111" s="19">
        <f t="shared" si="40"/>
        <v>11.610141035</v>
      </c>
      <c r="AM111" s="20">
        <f>AI111/Assumptions!$B$13</f>
        <v>0.16354966629880954</v>
      </c>
      <c r="AN111" s="20">
        <f>AK111/Assumptions!$B$13</f>
        <v>0.1434009321842592</v>
      </c>
      <c r="AO111" s="19">
        <f t="shared" si="41"/>
        <v>5.7869310730408214</v>
      </c>
      <c r="AP111" s="17">
        <f>H111*Assumptions!$B$16/1000000000000</f>
        <v>249.26995648446783</v>
      </c>
      <c r="AQ111" s="14">
        <f>AP111/Assumptions!$B$9</f>
        <v>62.317489121116957</v>
      </c>
      <c r="AR111" s="20">
        <f>AQ111/Assumptions!$B$11</f>
        <v>6.2317489121116953E-2</v>
      </c>
      <c r="AS111" s="14">
        <f t="shared" si="42"/>
        <v>81.990770988640321</v>
      </c>
      <c r="AT111" s="14">
        <f>Assumptions!$B$21*O111/100</f>
        <v>10.731581507634917</v>
      </c>
      <c r="AU111" s="14">
        <f>Assumptions!$B$21*P111/100</f>
        <v>15.957880300781246</v>
      </c>
      <c r="AV111" s="18">
        <f>H111/(K111*Assumptions!$B$9)</f>
        <v>1.70938910251034</v>
      </c>
      <c r="AW111" s="18">
        <f t="shared" si="43"/>
        <v>7.8207123192269454E-2</v>
      </c>
    </row>
    <row r="112" spans="1:49" x14ac:dyDescent="0.2">
      <c r="A112" s="16">
        <v>512</v>
      </c>
      <c r="B112" s="16">
        <v>5120</v>
      </c>
      <c r="C112" s="16">
        <v>5</v>
      </c>
      <c r="D112" s="16">
        <v>100</v>
      </c>
      <c r="E112" s="16">
        <v>346</v>
      </c>
      <c r="F112" s="17">
        <v>96.101943898829703</v>
      </c>
      <c r="G112" s="14">
        <v>52.760634549997803</v>
      </c>
      <c r="H112" s="17">
        <v>1497.46445248343</v>
      </c>
      <c r="I112" s="14">
        <v>98.1</v>
      </c>
      <c r="J112" s="16">
        <v>100</v>
      </c>
      <c r="K112" s="14">
        <v>284.60000000000002</v>
      </c>
      <c r="L112" s="14">
        <v>327.7</v>
      </c>
      <c r="M112" s="13">
        <v>87185</v>
      </c>
      <c r="N112" s="13">
        <v>87185</v>
      </c>
      <c r="O112" s="14">
        <v>30.544117647058801</v>
      </c>
      <c r="P112" s="14">
        <v>49.1</v>
      </c>
      <c r="Q112" s="18">
        <v>0.98075000000000001</v>
      </c>
      <c r="R112" s="18">
        <v>1</v>
      </c>
      <c r="S112" s="18">
        <v>0.46821802325581402</v>
      </c>
      <c r="T112" s="18">
        <v>0.58299999999999996</v>
      </c>
      <c r="U112" s="18">
        <v>3.4876453488371997E-2</v>
      </c>
      <c r="V112" s="18">
        <v>5.6000000000000001E-2</v>
      </c>
      <c r="W112" s="18">
        <v>0.13599854651162799</v>
      </c>
      <c r="X112" s="18">
        <v>0.17100000000000001</v>
      </c>
      <c r="Y112" s="18">
        <v>0.47218459302325599</v>
      </c>
      <c r="Z112" s="18">
        <v>0.58399999999999996</v>
      </c>
      <c r="AA112" s="13">
        <v>9144937475.0872097</v>
      </c>
      <c r="AB112" s="13">
        <v>13982516194</v>
      </c>
      <c r="AC112" s="13">
        <v>8024668965.0479698</v>
      </c>
      <c r="AD112" s="13">
        <v>12540697194</v>
      </c>
      <c r="AE112" s="13">
        <f t="shared" si="33"/>
        <v>5632</v>
      </c>
      <c r="AF112" s="14">
        <f t="shared" si="34"/>
        <v>20</v>
      </c>
      <c r="AG112" s="14">
        <f t="shared" si="35"/>
        <v>326</v>
      </c>
      <c r="AH112" s="19">
        <f t="shared" si="36"/>
        <v>0.28901734104046245</v>
      </c>
      <c r="AI112" s="19">
        <f t="shared" si="37"/>
        <v>9.1449374750872092</v>
      </c>
      <c r="AJ112" s="19">
        <f t="shared" si="38"/>
        <v>13.982516194</v>
      </c>
      <c r="AK112" s="19">
        <f t="shared" si="39"/>
        <v>8.0246689650479706</v>
      </c>
      <c r="AL112" s="19">
        <f t="shared" si="40"/>
        <v>12.540697194</v>
      </c>
      <c r="AM112" s="20">
        <f>AI112/Assumptions!$B$13</f>
        <v>0.14515773769979698</v>
      </c>
      <c r="AN112" s="20">
        <f>AK112/Assumptions!$B$13</f>
        <v>0.12737569785790429</v>
      </c>
      <c r="AO112" s="19">
        <f t="shared" si="41"/>
        <v>6.1069479545381071</v>
      </c>
      <c r="AP112" s="17">
        <f>H112*Assumptions!$B$16/1000000000000</f>
        <v>209.64502334768022</v>
      </c>
      <c r="AQ112" s="14">
        <f>AP112/Assumptions!$B$9</f>
        <v>52.411255836920056</v>
      </c>
      <c r="AR112" s="20">
        <f>AQ112/Assumptions!$B$11</f>
        <v>5.2411255836920058E-2</v>
      </c>
      <c r="AS112" s="14">
        <f t="shared" si="42"/>
        <v>79.007174729090792</v>
      </c>
      <c r="AT112" s="14">
        <f>Assumptions!$B$21*O112/100</f>
        <v>20.829887748066003</v>
      </c>
      <c r="AU112" s="14">
        <f>Assumptions!$B$21*P112/100</f>
        <v>33.484270203776035</v>
      </c>
      <c r="AV112" s="18">
        <f>H112/(K112*Assumptions!$B$9)</f>
        <v>1.3154115007760276</v>
      </c>
      <c r="AW112" s="18">
        <f t="shared" si="43"/>
        <v>7.4487635580224157E-2</v>
      </c>
    </row>
    <row r="113" spans="1:49" x14ac:dyDescent="0.2">
      <c r="A113" s="16">
        <v>512</v>
      </c>
      <c r="B113" s="16">
        <v>5120</v>
      </c>
      <c r="C113" s="16">
        <v>10</v>
      </c>
      <c r="D113" s="16">
        <v>100</v>
      </c>
      <c r="E113" s="16">
        <v>340</v>
      </c>
      <c r="F113" s="17">
        <v>95.118958113598595</v>
      </c>
      <c r="G113" s="14">
        <v>52.963470669534402</v>
      </c>
      <c r="H113" s="17">
        <v>1525.6613012068599</v>
      </c>
      <c r="I113" s="14">
        <v>98.1</v>
      </c>
      <c r="J113" s="16">
        <v>100</v>
      </c>
      <c r="K113" s="14">
        <v>285</v>
      </c>
      <c r="L113" s="14">
        <v>328.8</v>
      </c>
      <c r="M113" s="13">
        <v>87185</v>
      </c>
      <c r="N113" s="13">
        <v>87185</v>
      </c>
      <c r="O113" s="14">
        <v>30.661764705882401</v>
      </c>
      <c r="P113" s="14">
        <v>49.2</v>
      </c>
      <c r="Q113" s="18">
        <v>0.980282544378698</v>
      </c>
      <c r="R113" s="18">
        <v>0.997</v>
      </c>
      <c r="S113" s="18">
        <v>0.46515976331360898</v>
      </c>
      <c r="T113" s="18">
        <v>0.58299999999999996</v>
      </c>
      <c r="U113" s="18">
        <v>3.4477810650887501E-2</v>
      </c>
      <c r="V113" s="18">
        <v>5.2999999999999999E-2</v>
      </c>
      <c r="W113" s="18">
        <v>0.13688165680473399</v>
      </c>
      <c r="X113" s="18">
        <v>0.17100000000000001</v>
      </c>
      <c r="Y113" s="18">
        <v>0.47100147928994102</v>
      </c>
      <c r="Z113" s="18">
        <v>0.58799999999999997</v>
      </c>
      <c r="AA113" s="13">
        <v>9245637610.2677498</v>
      </c>
      <c r="AB113" s="13">
        <v>13673656859</v>
      </c>
      <c r="AC113" s="13">
        <v>8107808388.5221901</v>
      </c>
      <c r="AD113" s="13">
        <v>12055533735</v>
      </c>
      <c r="AE113" s="13">
        <f t="shared" si="33"/>
        <v>5632</v>
      </c>
      <c r="AF113" s="14">
        <f t="shared" si="34"/>
        <v>10</v>
      </c>
      <c r="AG113" s="14">
        <f t="shared" si="35"/>
        <v>330</v>
      </c>
      <c r="AH113" s="19">
        <f t="shared" si="36"/>
        <v>0.29411764705882354</v>
      </c>
      <c r="AI113" s="19">
        <f t="shared" si="37"/>
        <v>9.2456376102677496</v>
      </c>
      <c r="AJ113" s="19">
        <f t="shared" si="38"/>
        <v>13.673656858999999</v>
      </c>
      <c r="AK113" s="19">
        <f t="shared" si="39"/>
        <v>8.1078083885221908</v>
      </c>
      <c r="AL113" s="19">
        <f t="shared" si="40"/>
        <v>12.055533734999999</v>
      </c>
      <c r="AM113" s="20">
        <f>AI113/Assumptions!$B$13</f>
        <v>0.14675615254393254</v>
      </c>
      <c r="AN113" s="20">
        <f>AK113/Assumptions!$B$13</f>
        <v>0.12869537124638397</v>
      </c>
      <c r="AO113" s="19">
        <f t="shared" si="41"/>
        <v>6.0600852908532685</v>
      </c>
      <c r="AP113" s="17">
        <f>H113*Assumptions!$B$16/1000000000000</f>
        <v>213.59258216896038</v>
      </c>
      <c r="AQ113" s="14">
        <f>AP113/Assumptions!$B$9</f>
        <v>53.398145542240094</v>
      </c>
      <c r="AR113" s="20">
        <f>AQ113/Assumptions!$B$11</f>
        <v>5.3398145542240094E-2</v>
      </c>
      <c r="AS113" s="14">
        <f t="shared" si="42"/>
        <v>80.804317578113213</v>
      </c>
      <c r="AT113" s="14">
        <f>Assumptions!$B$21*O113/100</f>
        <v>20.910118418256005</v>
      </c>
      <c r="AU113" s="14">
        <f>Assumptions!$B$21*P113/100</f>
        <v>33.552466273437496</v>
      </c>
      <c r="AV113" s="18">
        <f>H113/(K113*Assumptions!$B$9)</f>
        <v>1.3382993870235613</v>
      </c>
      <c r="AW113" s="18">
        <f t="shared" si="43"/>
        <v>7.4120363303312398E-2</v>
      </c>
    </row>
    <row r="114" spans="1:49" x14ac:dyDescent="0.2">
      <c r="A114" s="16">
        <v>512</v>
      </c>
      <c r="B114" s="16">
        <v>5120</v>
      </c>
      <c r="C114" s="16">
        <v>20</v>
      </c>
      <c r="D114" s="16">
        <v>100</v>
      </c>
      <c r="E114" s="16">
        <v>337</v>
      </c>
      <c r="F114" s="17">
        <v>99.391771303489804</v>
      </c>
      <c r="G114" s="14">
        <v>53.003830004697399</v>
      </c>
      <c r="H114" s="17">
        <v>1538.18717397196</v>
      </c>
      <c r="I114" s="14">
        <v>98.1</v>
      </c>
      <c r="J114" s="16">
        <v>100</v>
      </c>
      <c r="K114" s="14">
        <v>284.89999999999998</v>
      </c>
      <c r="L114" s="14">
        <v>329</v>
      </c>
      <c r="M114" s="13">
        <v>87185</v>
      </c>
      <c r="N114" s="13">
        <v>87185</v>
      </c>
      <c r="O114" s="14">
        <v>30.588235294117698</v>
      </c>
      <c r="P114" s="14">
        <v>49.2</v>
      </c>
      <c r="Q114" s="18">
        <v>0.98054017857142906</v>
      </c>
      <c r="R114" s="18">
        <v>0.997</v>
      </c>
      <c r="S114" s="18">
        <v>0.46521279761904799</v>
      </c>
      <c r="T114" s="18">
        <v>0.58299999999999996</v>
      </c>
      <c r="U114" s="18">
        <v>3.44449404761904E-2</v>
      </c>
      <c r="V114" s="18">
        <v>5.5E-2</v>
      </c>
      <c r="W114" s="18">
        <v>0.13686607142857099</v>
      </c>
      <c r="X114" s="18">
        <v>0.17100000000000001</v>
      </c>
      <c r="Y114" s="18">
        <v>0.47133035714285698</v>
      </c>
      <c r="Z114" s="18">
        <v>0.58299999999999996</v>
      </c>
      <c r="AA114" s="13">
        <v>9216886571.4940491</v>
      </c>
      <c r="AB114" s="13">
        <v>12777601364</v>
      </c>
      <c r="AC114" s="13">
        <v>8081661094.7128</v>
      </c>
      <c r="AD114" s="13">
        <v>11185704411</v>
      </c>
      <c r="AE114" s="13">
        <f t="shared" si="33"/>
        <v>5632</v>
      </c>
      <c r="AF114" s="14">
        <f t="shared" si="34"/>
        <v>5</v>
      </c>
      <c r="AG114" s="14">
        <f t="shared" si="35"/>
        <v>332</v>
      </c>
      <c r="AH114" s="19">
        <f t="shared" si="36"/>
        <v>0.29673590504451036</v>
      </c>
      <c r="AI114" s="19">
        <f t="shared" si="37"/>
        <v>9.2168865714940491</v>
      </c>
      <c r="AJ114" s="19">
        <f t="shared" si="38"/>
        <v>12.777601364000001</v>
      </c>
      <c r="AK114" s="19">
        <f t="shared" si="39"/>
        <v>8.0816610947127998</v>
      </c>
      <c r="AL114" s="19">
        <f t="shared" si="40"/>
        <v>11.185704411</v>
      </c>
      <c r="AM114" s="20">
        <f>AI114/Assumptions!$B$13</f>
        <v>0.14629978684911188</v>
      </c>
      <c r="AN114" s="20">
        <f>AK114/Assumptions!$B$13</f>
        <v>0.12828033483671111</v>
      </c>
      <c r="AO114" s="19">
        <f t="shared" si="41"/>
        <v>5.9920448742878847</v>
      </c>
      <c r="AP114" s="17">
        <f>H114*Assumptions!$B$16/1000000000000</f>
        <v>215.3462043560744</v>
      </c>
      <c r="AQ114" s="14">
        <f>AP114/Assumptions!$B$9</f>
        <v>53.836551089018599</v>
      </c>
      <c r="AR114" s="20">
        <f>AQ114/Assumptions!$B$11</f>
        <v>5.3836551089018601E-2</v>
      </c>
      <c r="AS114" s="14">
        <f t="shared" si="42"/>
        <v>81.529811484615664</v>
      </c>
      <c r="AT114" s="14">
        <f>Assumptions!$B$21*O114/100</f>
        <v>20.859974249387289</v>
      </c>
      <c r="AU114" s="14">
        <f>Assumptions!$B$21*P114/100</f>
        <v>33.552466273437496</v>
      </c>
      <c r="AV114" s="18">
        <f>H114/(K114*Assumptions!$B$9)</f>
        <v>1.3497605949209899</v>
      </c>
      <c r="AW114" s="18">
        <f t="shared" si="43"/>
        <v>7.4041257361102453E-2</v>
      </c>
    </row>
    <row r="115" spans="1:49" x14ac:dyDescent="0.2">
      <c r="A115" s="16">
        <v>512</v>
      </c>
      <c r="B115" s="16">
        <v>5120</v>
      </c>
      <c r="C115" s="16">
        <v>50</v>
      </c>
      <c r="D115" s="16">
        <v>100</v>
      </c>
      <c r="E115" s="16">
        <v>337</v>
      </c>
      <c r="F115" s="17">
        <v>104.250067799585</v>
      </c>
      <c r="G115" s="14">
        <v>53.032845909467298</v>
      </c>
      <c r="H115" s="17">
        <v>1545.21145696846</v>
      </c>
      <c r="I115" s="14">
        <v>98.1</v>
      </c>
      <c r="J115" s="16">
        <v>100</v>
      </c>
      <c r="K115" s="14">
        <v>284.39999999999998</v>
      </c>
      <c r="L115" s="14">
        <v>327.39999999999998</v>
      </c>
      <c r="M115" s="13">
        <v>87185</v>
      </c>
      <c r="N115" s="13">
        <v>87185</v>
      </c>
      <c r="O115" s="14">
        <v>30.6852941176471</v>
      </c>
      <c r="P115" s="14">
        <v>50.1</v>
      </c>
      <c r="Q115" s="18">
        <v>0.98025149700598802</v>
      </c>
      <c r="R115" s="18">
        <v>1</v>
      </c>
      <c r="S115" s="18">
        <v>0.46428143712574899</v>
      </c>
      <c r="T115" s="18">
        <v>0.57999999999999996</v>
      </c>
      <c r="U115" s="18">
        <v>3.4315868263473E-2</v>
      </c>
      <c r="V115" s="18">
        <v>5.5E-2</v>
      </c>
      <c r="W115" s="18">
        <v>0.136875748502994</v>
      </c>
      <c r="X115" s="18">
        <v>0.17100000000000001</v>
      </c>
      <c r="Y115" s="18">
        <v>0.47116766467065901</v>
      </c>
      <c r="Z115" s="18">
        <v>0.58499999999999996</v>
      </c>
      <c r="AA115" s="13">
        <v>9236373082.2964096</v>
      </c>
      <c r="AB115" s="13">
        <v>13414959004</v>
      </c>
      <c r="AC115" s="13">
        <v>8098050195.4221601</v>
      </c>
      <c r="AD115" s="13">
        <v>11743117607</v>
      </c>
      <c r="AE115" s="13">
        <f t="shared" si="33"/>
        <v>5632</v>
      </c>
      <c r="AF115" s="14">
        <f t="shared" si="34"/>
        <v>2</v>
      </c>
      <c r="AG115" s="14">
        <f t="shared" si="35"/>
        <v>335</v>
      </c>
      <c r="AH115" s="19">
        <f t="shared" si="36"/>
        <v>0.29673590504451036</v>
      </c>
      <c r="AI115" s="19">
        <f t="shared" si="37"/>
        <v>9.2363730822964101</v>
      </c>
      <c r="AJ115" s="19">
        <f t="shared" si="38"/>
        <v>13.414959004</v>
      </c>
      <c r="AK115" s="19">
        <f t="shared" si="39"/>
        <v>8.0980501954221609</v>
      </c>
      <c r="AL115" s="19">
        <f t="shared" si="40"/>
        <v>11.743117607</v>
      </c>
      <c r="AM115" s="20">
        <f>AI115/Assumptions!$B$13</f>
        <v>0.14660909654438747</v>
      </c>
      <c r="AN115" s="20">
        <f>AK115/Assumptions!$B$13</f>
        <v>0.12854047929241524</v>
      </c>
      <c r="AO115" s="19">
        <f t="shared" si="41"/>
        <v>5.9774169034555236</v>
      </c>
      <c r="AP115" s="17">
        <f>H115*Assumptions!$B$16/1000000000000</f>
        <v>216.3296039755844</v>
      </c>
      <c r="AQ115" s="14">
        <f>AP115/Assumptions!$B$9</f>
        <v>54.082400993896101</v>
      </c>
      <c r="AR115" s="20">
        <f>AQ115/Assumptions!$B$11</f>
        <v>5.40824009938961E-2</v>
      </c>
      <c r="AS115" s="14">
        <f t="shared" si="42"/>
        <v>81.946961094951789</v>
      </c>
      <c r="AT115" s="14">
        <f>Assumptions!$B$21*O115/100</f>
        <v>20.92616455229399</v>
      </c>
      <c r="AU115" s="14">
        <f>Assumptions!$B$21*P115/100</f>
        <v>34.166230900390616</v>
      </c>
      <c r="AV115" s="18">
        <f>H115/(K115*Assumptions!$B$9)</f>
        <v>1.3583082427641175</v>
      </c>
      <c r="AW115" s="18">
        <f t="shared" si="43"/>
        <v>7.3911781775971949E-2</v>
      </c>
    </row>
    <row r="116" spans="1:49" x14ac:dyDescent="0.2">
      <c r="A116" s="16">
        <v>512</v>
      </c>
      <c r="B116" s="16">
        <v>5120</v>
      </c>
      <c r="C116" s="16">
        <v>100</v>
      </c>
      <c r="D116" s="16">
        <v>100</v>
      </c>
      <c r="E116" s="16">
        <v>338</v>
      </c>
      <c r="F116" s="17">
        <v>108.456055963179</v>
      </c>
      <c r="G116" s="14">
        <v>53.0662221782055</v>
      </c>
      <c r="H116" s="17">
        <v>1546.95717309168</v>
      </c>
      <c r="I116" s="14">
        <v>97.5</v>
      </c>
      <c r="J116" s="16">
        <v>100</v>
      </c>
      <c r="K116" s="14">
        <v>283.60000000000002</v>
      </c>
      <c r="L116" s="14">
        <v>327.2</v>
      </c>
      <c r="M116" s="13">
        <v>87185</v>
      </c>
      <c r="N116" s="13">
        <v>87185</v>
      </c>
      <c r="O116" s="14">
        <v>31.660606060606099</v>
      </c>
      <c r="P116" s="14">
        <v>49.4</v>
      </c>
      <c r="Q116" s="18">
        <v>0.97429613095238099</v>
      </c>
      <c r="R116" s="18">
        <v>0.997</v>
      </c>
      <c r="S116" s="18">
        <v>0.46132886904761899</v>
      </c>
      <c r="T116" s="18">
        <v>0.58099999999999996</v>
      </c>
      <c r="U116" s="18">
        <v>3.4117559523809501E-2</v>
      </c>
      <c r="V116" s="18">
        <v>5.5E-2</v>
      </c>
      <c r="W116" s="18">
        <v>0.13588690476190499</v>
      </c>
      <c r="X116" s="18">
        <v>0.16900000000000001</v>
      </c>
      <c r="Y116" s="18">
        <v>0.46851190476190502</v>
      </c>
      <c r="Z116" s="18">
        <v>0.58199999999999996</v>
      </c>
      <c r="AA116" s="13">
        <v>9177505683.1577396</v>
      </c>
      <c r="AB116" s="13">
        <v>12983776000</v>
      </c>
      <c r="AC116" s="13">
        <v>8046388237.0848198</v>
      </c>
      <c r="AD116" s="13">
        <v>11365878709</v>
      </c>
      <c r="AE116" s="13">
        <f t="shared" si="33"/>
        <v>5632</v>
      </c>
      <c r="AF116" s="14">
        <f t="shared" si="34"/>
        <v>1</v>
      </c>
      <c r="AG116" s="14">
        <f t="shared" si="35"/>
        <v>337</v>
      </c>
      <c r="AH116" s="19">
        <f t="shared" si="36"/>
        <v>0.29585798816568049</v>
      </c>
      <c r="AI116" s="19">
        <f t="shared" si="37"/>
        <v>9.1775056831577402</v>
      </c>
      <c r="AJ116" s="19">
        <f t="shared" si="38"/>
        <v>12.983776000000001</v>
      </c>
      <c r="AK116" s="19">
        <f t="shared" si="39"/>
        <v>8.0463882370848197</v>
      </c>
      <c r="AL116" s="19">
        <f t="shared" si="40"/>
        <v>11.365878709</v>
      </c>
      <c r="AM116" s="20">
        <f>AI116/Assumptions!$B$13</f>
        <v>0.14567469338345621</v>
      </c>
      <c r="AN116" s="20">
        <f>AK116/Assumptions!$B$13</f>
        <v>0.12772044820769554</v>
      </c>
      <c r="AO116" s="19">
        <f t="shared" si="41"/>
        <v>5.9326178143742556</v>
      </c>
      <c r="AP116" s="17">
        <f>H116*Assumptions!$B$16/1000000000000</f>
        <v>216.57400423283522</v>
      </c>
      <c r="AQ116" s="14">
        <f>AP116/Assumptions!$B$9</f>
        <v>54.143501058208805</v>
      </c>
      <c r="AR116" s="20">
        <f>AQ116/Assumptions!$B$11</f>
        <v>5.4143501058208802E-2</v>
      </c>
      <c r="AS116" s="14">
        <f t="shared" si="42"/>
        <v>82.091173047451804</v>
      </c>
      <c r="AT116" s="14">
        <f>Assumptions!$B$21*O116/100</f>
        <v>21.591288964330833</v>
      </c>
      <c r="AU116" s="14">
        <f>Assumptions!$B$21*P116/100</f>
        <v>33.68885841276041</v>
      </c>
      <c r="AV116" s="18">
        <f>H116/(K116*Assumptions!$B$9)</f>
        <v>1.3636787491992948</v>
      </c>
      <c r="AW116" s="18">
        <f t="shared" si="43"/>
        <v>7.3954963178963426E-2</v>
      </c>
    </row>
    <row r="117" spans="1:49" x14ac:dyDescent="0.2">
      <c r="A117" s="16">
        <v>512</v>
      </c>
      <c r="B117" s="16">
        <v>10240</v>
      </c>
      <c r="C117" s="16">
        <v>5</v>
      </c>
      <c r="D117" s="16">
        <v>100</v>
      </c>
      <c r="E117" s="16">
        <v>824</v>
      </c>
      <c r="F117" s="17">
        <v>166.28860682947601</v>
      </c>
      <c r="G117" s="14">
        <v>64.946626496679698</v>
      </c>
      <c r="H117" s="17">
        <v>1246.29431680845</v>
      </c>
      <c r="I117" s="14">
        <v>99.2</v>
      </c>
      <c r="J117" s="16">
        <v>100</v>
      </c>
      <c r="K117" s="14">
        <v>302.39999999999998</v>
      </c>
      <c r="L117" s="14">
        <v>341.6</v>
      </c>
      <c r="M117" s="13">
        <v>87441</v>
      </c>
      <c r="N117" s="13">
        <v>87441</v>
      </c>
      <c r="O117" s="14">
        <v>58.167469879518102</v>
      </c>
      <c r="P117" s="14">
        <v>92.6</v>
      </c>
      <c r="Q117" s="18">
        <v>0.98928710462287095</v>
      </c>
      <c r="R117" s="18">
        <v>1</v>
      </c>
      <c r="S117" s="18">
        <v>0.54969343065693399</v>
      </c>
      <c r="T117" s="18">
        <v>0.67400000000000004</v>
      </c>
      <c r="U117" s="18">
        <v>3.8933698296836898E-2</v>
      </c>
      <c r="V117" s="18">
        <v>5.5E-2</v>
      </c>
      <c r="W117" s="18">
        <v>0.15025912408759101</v>
      </c>
      <c r="X117" s="18">
        <v>0.19800000000000001</v>
      </c>
      <c r="Y117" s="18">
        <v>0.55448722627737201</v>
      </c>
      <c r="Z117" s="18">
        <v>0.68500000000000005</v>
      </c>
      <c r="AA117" s="13">
        <v>7717883557.9762802</v>
      </c>
      <c r="AB117" s="13">
        <v>17192356606</v>
      </c>
      <c r="AC117" s="13">
        <v>6768832123.4969597</v>
      </c>
      <c r="AD117" s="13">
        <v>15086936735</v>
      </c>
      <c r="AE117" s="13">
        <f t="shared" si="33"/>
        <v>10752</v>
      </c>
      <c r="AF117" s="14">
        <f t="shared" si="34"/>
        <v>20</v>
      </c>
      <c r="AG117" s="14">
        <f t="shared" si="35"/>
        <v>804</v>
      </c>
      <c r="AH117" s="19">
        <f t="shared" si="36"/>
        <v>0.12135922330097088</v>
      </c>
      <c r="AI117" s="19">
        <f t="shared" si="37"/>
        <v>7.7178835579762799</v>
      </c>
      <c r="AJ117" s="19">
        <f t="shared" si="38"/>
        <v>17.192356606000001</v>
      </c>
      <c r="AK117" s="19">
        <f t="shared" si="39"/>
        <v>6.76883212349696</v>
      </c>
      <c r="AL117" s="19">
        <f t="shared" si="40"/>
        <v>15.086936735</v>
      </c>
      <c r="AM117" s="20">
        <f>AI117/Assumptions!$B$13</f>
        <v>0.12250608822184571</v>
      </c>
      <c r="AN117" s="20">
        <f>AK117/Assumptions!$B$13</f>
        <v>0.10744177973804699</v>
      </c>
      <c r="AO117" s="19">
        <f t="shared" si="41"/>
        <v>6.1926652909246034</v>
      </c>
      <c r="AP117" s="17">
        <f>H117*Assumptions!$B$16/1000000000000</f>
        <v>174.48120435318299</v>
      </c>
      <c r="AQ117" s="14">
        <f>AP117/Assumptions!$B$9</f>
        <v>43.620301088295747</v>
      </c>
      <c r="AR117" s="20">
        <f>AQ117/Assumptions!$B$11</f>
        <v>4.3620301088295746E-2</v>
      </c>
      <c r="AS117" s="14">
        <f t="shared" si="42"/>
        <v>80.942611498692997</v>
      </c>
      <c r="AT117" s="14">
        <f>Assumptions!$B$21*O117/100</f>
        <v>39.667928279343954</v>
      </c>
      <c r="AU117" s="14">
        <f>Assumptions!$B$21*P117/100</f>
        <v>63.149560506510404</v>
      </c>
      <c r="AV117" s="18">
        <f>H117/(K117*Assumptions!$B$9)</f>
        <v>1.0303359100598959</v>
      </c>
      <c r="AW117" s="18">
        <f t="shared" si="43"/>
        <v>7.0828021812644845E-2</v>
      </c>
    </row>
    <row r="118" spans="1:49" x14ac:dyDescent="0.2">
      <c r="A118" s="16">
        <v>512</v>
      </c>
      <c r="B118" s="16">
        <v>10240</v>
      </c>
      <c r="C118" s="16">
        <v>10</v>
      </c>
      <c r="D118" s="16">
        <v>100</v>
      </c>
      <c r="E118" s="16">
        <v>821</v>
      </c>
      <c r="F118" s="17">
        <v>167.55968153011099</v>
      </c>
      <c r="G118" s="14">
        <v>65.087014825875102</v>
      </c>
      <c r="H118" s="17">
        <v>1253.0150854584499</v>
      </c>
      <c r="I118" s="14">
        <v>99.1</v>
      </c>
      <c r="J118" s="16">
        <v>100</v>
      </c>
      <c r="K118" s="14">
        <v>302.5</v>
      </c>
      <c r="L118" s="14">
        <v>341.9</v>
      </c>
      <c r="M118" s="13">
        <v>87441</v>
      </c>
      <c r="N118" s="13">
        <v>87441</v>
      </c>
      <c r="O118" s="14">
        <v>58.958536585365898</v>
      </c>
      <c r="P118" s="14">
        <v>93.2</v>
      </c>
      <c r="Q118" s="18">
        <v>0.98935268948655197</v>
      </c>
      <c r="R118" s="18">
        <v>1</v>
      </c>
      <c r="S118" s="18">
        <v>0.551530562347188</v>
      </c>
      <c r="T118" s="18">
        <v>0.67400000000000004</v>
      </c>
      <c r="U118" s="18">
        <v>3.8949877750611199E-2</v>
      </c>
      <c r="V118" s="18">
        <v>5.5E-2</v>
      </c>
      <c r="W118" s="18">
        <v>0.14978911980440099</v>
      </c>
      <c r="X118" s="18">
        <v>0.214</v>
      </c>
      <c r="Y118" s="18">
        <v>0.55545599022004899</v>
      </c>
      <c r="Z118" s="18">
        <v>0.68600000000000005</v>
      </c>
      <c r="AA118" s="13">
        <v>7647092897.8312998</v>
      </c>
      <c r="AB118" s="13">
        <v>18489468783</v>
      </c>
      <c r="AC118" s="13">
        <v>6706138331.9321499</v>
      </c>
      <c r="AD118" s="13">
        <v>16332426221</v>
      </c>
      <c r="AE118" s="13">
        <f t="shared" si="33"/>
        <v>10752</v>
      </c>
      <c r="AF118" s="14">
        <f t="shared" si="34"/>
        <v>10</v>
      </c>
      <c r="AG118" s="14">
        <f t="shared" si="35"/>
        <v>811</v>
      </c>
      <c r="AH118" s="19">
        <f t="shared" si="36"/>
        <v>0.1218026796589525</v>
      </c>
      <c r="AI118" s="19">
        <f t="shared" si="37"/>
        <v>7.6470928978312998</v>
      </c>
      <c r="AJ118" s="19">
        <f t="shared" si="38"/>
        <v>18.489468783</v>
      </c>
      <c r="AK118" s="19">
        <f t="shared" si="39"/>
        <v>6.7061383319321495</v>
      </c>
      <c r="AL118" s="19">
        <f t="shared" si="40"/>
        <v>16.332426220999999</v>
      </c>
      <c r="AM118" s="20">
        <f>AI118/Assumptions!$B$13</f>
        <v>0.12138242694970316</v>
      </c>
      <c r="AN118" s="20">
        <f>AK118/Assumptions!$B$13</f>
        <v>0.1064466401893992</v>
      </c>
      <c r="AO118" s="19">
        <f t="shared" si="41"/>
        <v>6.102953576998158</v>
      </c>
      <c r="AP118" s="17">
        <f>H118*Assumptions!$B$16/1000000000000</f>
        <v>175.42211196418299</v>
      </c>
      <c r="AQ118" s="14">
        <f>AP118/Assumptions!$B$9</f>
        <v>43.855527991045747</v>
      </c>
      <c r="AR118" s="20">
        <f>AQ118/Assumptions!$B$11</f>
        <v>4.3855527991045744E-2</v>
      </c>
      <c r="AS118" s="14">
        <f t="shared" si="42"/>
        <v>81.555011444279288</v>
      </c>
      <c r="AT118" s="14">
        <f>Assumptions!$B$21*O118/100</f>
        <v>40.207404681132523</v>
      </c>
      <c r="AU118" s="14">
        <f>Assumptions!$B$21*P118/100</f>
        <v>63.558736924479163</v>
      </c>
      <c r="AV118" s="18">
        <f>H118/(K118*Assumptions!$B$9)</f>
        <v>1.0355496574036775</v>
      </c>
      <c r="AW118" s="18">
        <f t="shared" si="43"/>
        <v>7.0621431357945824E-2</v>
      </c>
    </row>
    <row r="119" spans="1:49" x14ac:dyDescent="0.2">
      <c r="A119" s="16">
        <v>512</v>
      </c>
      <c r="B119" s="16">
        <v>10240</v>
      </c>
      <c r="C119" s="16">
        <v>20</v>
      </c>
      <c r="D119" s="16">
        <v>100</v>
      </c>
      <c r="E119" s="16">
        <v>817</v>
      </c>
      <c r="F119" s="17">
        <v>235.02066767949199</v>
      </c>
      <c r="G119" s="14">
        <v>65.123797092211603</v>
      </c>
      <c r="H119" s="17">
        <v>1256.50599777139</v>
      </c>
      <c r="I119" s="14">
        <v>99.2</v>
      </c>
      <c r="J119" s="16">
        <v>100</v>
      </c>
      <c r="K119" s="14">
        <v>302.5</v>
      </c>
      <c r="L119" s="14">
        <v>342.6</v>
      </c>
      <c r="M119" s="13">
        <v>87441</v>
      </c>
      <c r="N119" s="13">
        <v>87441</v>
      </c>
      <c r="O119" s="14">
        <v>58.948780487804903</v>
      </c>
      <c r="P119" s="14">
        <v>93.3</v>
      </c>
      <c r="Q119" s="18">
        <v>0.98992647058823502</v>
      </c>
      <c r="R119" s="18">
        <v>1</v>
      </c>
      <c r="S119" s="18">
        <v>0.55128370098039203</v>
      </c>
      <c r="T119" s="18">
        <v>0.67500000000000004</v>
      </c>
      <c r="U119" s="18">
        <v>3.8955882352941097E-2</v>
      </c>
      <c r="V119" s="18">
        <v>5.5E-2</v>
      </c>
      <c r="W119" s="18">
        <v>0.14988296568627499</v>
      </c>
      <c r="X119" s="18">
        <v>0.223</v>
      </c>
      <c r="Y119" s="18">
        <v>0.55609191176470596</v>
      </c>
      <c r="Z119" s="18">
        <v>0.68300000000000005</v>
      </c>
      <c r="AA119" s="13">
        <v>7647948196.3186302</v>
      </c>
      <c r="AB119" s="13">
        <v>20763536112</v>
      </c>
      <c r="AC119" s="13">
        <v>6707003345.8082104</v>
      </c>
      <c r="AD119" s="13">
        <v>18181685508</v>
      </c>
      <c r="AE119" s="13">
        <f t="shared" si="33"/>
        <v>10752</v>
      </c>
      <c r="AF119" s="14">
        <f t="shared" si="34"/>
        <v>5</v>
      </c>
      <c r="AG119" s="14">
        <f t="shared" si="35"/>
        <v>812</v>
      </c>
      <c r="AH119" s="19">
        <f t="shared" si="36"/>
        <v>0.12239902080783353</v>
      </c>
      <c r="AI119" s="19">
        <f t="shared" si="37"/>
        <v>7.6479481963186302</v>
      </c>
      <c r="AJ119" s="19">
        <f t="shared" si="38"/>
        <v>20.763536112000001</v>
      </c>
      <c r="AK119" s="19">
        <f t="shared" si="39"/>
        <v>6.7070033458082108</v>
      </c>
      <c r="AL119" s="19">
        <f t="shared" si="40"/>
        <v>18.181685508000001</v>
      </c>
      <c r="AM119" s="20">
        <f>AI119/Assumptions!$B$13</f>
        <v>0.12139600311616873</v>
      </c>
      <c r="AN119" s="20">
        <f>AK119/Assumptions!$B$13</f>
        <v>0.1064603705683843</v>
      </c>
      <c r="AO119" s="19">
        <f t="shared" si="41"/>
        <v>6.0866786230097292</v>
      </c>
      <c r="AP119" s="17">
        <f>H119*Assumptions!$B$16/1000000000000</f>
        <v>175.91083968799458</v>
      </c>
      <c r="AQ119" s="14">
        <f>AP119/Assumptions!$B$9</f>
        <v>43.977709921998645</v>
      </c>
      <c r="AR119" s="20">
        <f>AQ119/Assumptions!$B$11</f>
        <v>4.3977709921998648E-2</v>
      </c>
      <c r="AS119" s="14">
        <f t="shared" si="42"/>
        <v>81.828441644010894</v>
      </c>
      <c r="AT119" s="14">
        <f>Assumptions!$B$21*O119/100</f>
        <v>40.20075140604358</v>
      </c>
      <c r="AU119" s="14">
        <f>Assumptions!$B$21*P119/100</f>
        <v>63.626932994140617</v>
      </c>
      <c r="AV119" s="18">
        <f>H119/(K119*Assumptions!$B$9)</f>
        <v>1.0384347089019752</v>
      </c>
      <c r="AW119" s="18">
        <f t="shared" si="43"/>
        <v>7.0663947226559984E-2</v>
      </c>
    </row>
    <row r="120" spans="1:49" x14ac:dyDescent="0.2">
      <c r="A120" s="16">
        <v>512</v>
      </c>
      <c r="B120" s="16">
        <v>10240</v>
      </c>
      <c r="C120" s="16">
        <v>50</v>
      </c>
      <c r="D120" s="16">
        <v>100</v>
      </c>
      <c r="E120" s="16">
        <v>817</v>
      </c>
      <c r="F120" s="17">
        <v>876.44847555144202</v>
      </c>
      <c r="G120" s="14">
        <v>65.116302716034099</v>
      </c>
      <c r="H120" s="17">
        <v>1258.0243185798799</v>
      </c>
      <c r="I120" s="14">
        <v>99.2</v>
      </c>
      <c r="J120" s="16">
        <v>100</v>
      </c>
      <c r="K120" s="14">
        <v>304.3</v>
      </c>
      <c r="L120" s="14">
        <v>351.7</v>
      </c>
      <c r="M120" s="13">
        <v>87668.7</v>
      </c>
      <c r="N120" s="13">
        <v>87671</v>
      </c>
      <c r="O120" s="14">
        <v>59.702469135802502</v>
      </c>
      <c r="P120" s="14">
        <v>93.9</v>
      </c>
      <c r="Q120" s="18">
        <v>0.98956326781326798</v>
      </c>
      <c r="R120" s="18">
        <v>1</v>
      </c>
      <c r="S120" s="18">
        <v>0.55102395577395602</v>
      </c>
      <c r="T120" s="18">
        <v>0.67600000000000005</v>
      </c>
      <c r="U120" s="18">
        <v>3.8944717444717399E-2</v>
      </c>
      <c r="V120" s="18">
        <v>5.8999999999999997E-2</v>
      </c>
      <c r="W120" s="18">
        <v>0.149734029484029</v>
      </c>
      <c r="X120" s="18">
        <v>0.23799999999999999</v>
      </c>
      <c r="Y120" s="18">
        <v>0.55613206388206404</v>
      </c>
      <c r="Z120" s="18">
        <v>0.68300000000000005</v>
      </c>
      <c r="AA120" s="13">
        <v>7658871071.9809599</v>
      </c>
      <c r="AB120" s="13">
        <v>27833867031</v>
      </c>
      <c r="AC120" s="13">
        <v>6716496829.5061398</v>
      </c>
      <c r="AD120" s="13">
        <v>24370941248</v>
      </c>
      <c r="AE120" s="13">
        <f t="shared" si="33"/>
        <v>10752</v>
      </c>
      <c r="AF120" s="14">
        <f t="shared" si="34"/>
        <v>2</v>
      </c>
      <c r="AG120" s="14">
        <f t="shared" si="35"/>
        <v>815</v>
      </c>
      <c r="AH120" s="19">
        <f t="shared" si="36"/>
        <v>0.12239902080783353</v>
      </c>
      <c r="AI120" s="19">
        <f t="shared" si="37"/>
        <v>7.6588710719809603</v>
      </c>
      <c r="AJ120" s="19">
        <f t="shared" si="38"/>
        <v>27.833867031</v>
      </c>
      <c r="AK120" s="19">
        <f t="shared" si="39"/>
        <v>6.7164968295061396</v>
      </c>
      <c r="AL120" s="19">
        <f t="shared" si="40"/>
        <v>24.370941248000001</v>
      </c>
      <c r="AM120" s="20">
        <f>AI120/Assumptions!$B$13</f>
        <v>0.12156938209493588</v>
      </c>
      <c r="AN120" s="20">
        <f>AK120/Assumptions!$B$13</f>
        <v>0.10661106078581174</v>
      </c>
      <c r="AO120" s="19">
        <f t="shared" si="41"/>
        <v>6.0880151193155569</v>
      </c>
      <c r="AP120" s="17">
        <f>H120*Assumptions!$B$16/1000000000000</f>
        <v>176.12340460118318</v>
      </c>
      <c r="AQ120" s="14">
        <f>AP120/Assumptions!$B$9</f>
        <v>44.030851150295796</v>
      </c>
      <c r="AR120" s="20">
        <f>AQ120/Assumptions!$B$11</f>
        <v>4.4030851150295792E-2</v>
      </c>
      <c r="AS120" s="14">
        <f t="shared" si="42"/>
        <v>81.917892352779972</v>
      </c>
      <c r="AT120" s="14">
        <f>Assumptions!$B$21*O120/100</f>
        <v>40.714737441462532</v>
      </c>
      <c r="AU120" s="14">
        <f>Assumptions!$B$21*P120/100</f>
        <v>64.036109412109369</v>
      </c>
      <c r="AV120" s="18">
        <f>H120/(K120*Assumptions!$B$9)</f>
        <v>1.033539532188531</v>
      </c>
      <c r="AW120" s="18">
        <f t="shared" si="43"/>
        <v>7.0676995140831061E-2</v>
      </c>
    </row>
    <row r="121" spans="1:49" x14ac:dyDescent="0.2">
      <c r="A121" s="16">
        <v>512</v>
      </c>
      <c r="B121" s="16">
        <v>10240</v>
      </c>
      <c r="C121" s="16">
        <v>100</v>
      </c>
      <c r="D121" s="16">
        <v>100</v>
      </c>
      <c r="E121" s="16">
        <v>815</v>
      </c>
      <c r="F121" s="17">
        <v>1205.2986475190901</v>
      </c>
      <c r="G121" s="14">
        <v>65.054078683101594</v>
      </c>
      <c r="H121" s="17">
        <v>1259.31917981533</v>
      </c>
      <c r="I121" s="14">
        <v>99.2</v>
      </c>
      <c r="J121" s="16">
        <v>100</v>
      </c>
      <c r="K121" s="14">
        <v>307.10000000000002</v>
      </c>
      <c r="L121" s="14">
        <v>349.6</v>
      </c>
      <c r="M121" s="13">
        <v>87671</v>
      </c>
      <c r="N121" s="13">
        <v>87671</v>
      </c>
      <c r="O121" s="14">
        <v>58.948780487804903</v>
      </c>
      <c r="P121" s="14">
        <v>93.9</v>
      </c>
      <c r="Q121" s="18">
        <v>0.990001842751843</v>
      </c>
      <c r="R121" s="18">
        <v>1</v>
      </c>
      <c r="S121" s="18">
        <v>0.55162346437346399</v>
      </c>
      <c r="T121" s="18">
        <v>0.67500000000000004</v>
      </c>
      <c r="U121" s="18">
        <v>3.8988943488943398E-2</v>
      </c>
      <c r="V121" s="18">
        <v>6.5000000000000002E-2</v>
      </c>
      <c r="W121" s="18">
        <v>0.149552211302211</v>
      </c>
      <c r="X121" s="18">
        <v>0.23699999999999999</v>
      </c>
      <c r="Y121" s="18">
        <v>0.55685380835380804</v>
      </c>
      <c r="Z121" s="18">
        <v>0.68500000000000005</v>
      </c>
      <c r="AA121" s="13">
        <v>7656154428.7192898</v>
      </c>
      <c r="AB121" s="13">
        <v>30127833019</v>
      </c>
      <c r="AC121" s="13">
        <v>6713668882.6504898</v>
      </c>
      <c r="AD121" s="13">
        <v>26365586502</v>
      </c>
      <c r="AE121" s="13">
        <f t="shared" si="33"/>
        <v>10752</v>
      </c>
      <c r="AF121" s="14">
        <f t="shared" si="34"/>
        <v>1</v>
      </c>
      <c r="AG121" s="14">
        <f t="shared" si="35"/>
        <v>814</v>
      </c>
      <c r="AH121" s="19">
        <f t="shared" si="36"/>
        <v>0.12269938650306748</v>
      </c>
      <c r="AI121" s="19">
        <f t="shared" si="37"/>
        <v>7.6561544287192902</v>
      </c>
      <c r="AJ121" s="19">
        <f t="shared" si="38"/>
        <v>30.127833019000001</v>
      </c>
      <c r="AK121" s="19">
        <f t="shared" si="39"/>
        <v>6.7136688826504898</v>
      </c>
      <c r="AL121" s="19">
        <f t="shared" si="40"/>
        <v>26.365586501999999</v>
      </c>
      <c r="AM121" s="20">
        <f>AI121/Assumptions!$B$13</f>
        <v>0.12152626077332207</v>
      </c>
      <c r="AN121" s="20">
        <f>AK121/Assumptions!$B$13</f>
        <v>0.10656617274048397</v>
      </c>
      <c r="AO121" s="19">
        <f t="shared" si="41"/>
        <v>6.0795980490363126</v>
      </c>
      <c r="AP121" s="17">
        <f>H121*Assumptions!$B$16/1000000000000</f>
        <v>176.30468517414619</v>
      </c>
      <c r="AQ121" s="14">
        <f>AP121/Assumptions!$B$9</f>
        <v>44.076171293536547</v>
      </c>
      <c r="AR121" s="20">
        <f>AQ121/Assumptions!$B$11</f>
        <v>4.4076171293536547E-2</v>
      </c>
      <c r="AS121" s="14">
        <f t="shared" si="42"/>
        <v>81.923849010845444</v>
      </c>
      <c r="AT121" s="14">
        <f>Assumptions!$B$21*O121/100</f>
        <v>40.20075140604358</v>
      </c>
      <c r="AU121" s="14">
        <f>Assumptions!$B$21*P121/100</f>
        <v>64.036109412109369</v>
      </c>
      <c r="AV121" s="18">
        <f>H121/(K121*Assumptions!$B$9)</f>
        <v>1.0251702864012779</v>
      </c>
      <c r="AW121" s="18">
        <f t="shared" si="43"/>
        <v>7.0680357176660685E-2</v>
      </c>
    </row>
    <row r="122" spans="1:49" x14ac:dyDescent="0.2">
      <c r="A122" s="16">
        <v>1024</v>
      </c>
      <c r="B122" s="16">
        <v>128</v>
      </c>
      <c r="C122" s="16">
        <v>5</v>
      </c>
      <c r="D122" s="16">
        <v>100</v>
      </c>
      <c r="E122" s="16">
        <v>31</v>
      </c>
      <c r="F122" s="17">
        <v>274.42085226240999</v>
      </c>
      <c r="G122" s="14">
        <v>51.364140847009203</v>
      </c>
      <c r="H122" s="17">
        <v>515.49893564345302</v>
      </c>
      <c r="I122" s="14">
        <v>77.7</v>
      </c>
      <c r="J122" s="16">
        <v>100</v>
      </c>
      <c r="K122" s="14">
        <v>234.7</v>
      </c>
      <c r="L122" s="14">
        <v>308.7</v>
      </c>
      <c r="M122" s="13">
        <v>87187</v>
      </c>
      <c r="N122" s="13">
        <v>87187</v>
      </c>
      <c r="O122" s="14">
        <v>3</v>
      </c>
      <c r="P122" s="14">
        <v>4.4000000000000004</v>
      </c>
      <c r="Q122" s="18">
        <v>0.80618333333333303</v>
      </c>
      <c r="R122" s="18">
        <v>0.995</v>
      </c>
      <c r="S122" s="18">
        <v>0.31335000000000002</v>
      </c>
      <c r="T122" s="18">
        <v>0.51200000000000001</v>
      </c>
      <c r="U122" s="18">
        <v>3.3566666666666599E-2</v>
      </c>
      <c r="V122" s="18">
        <v>4.9000000000000002E-2</v>
      </c>
      <c r="W122" s="18">
        <v>0.12686666666666699</v>
      </c>
      <c r="X122" s="18">
        <v>0.21099999999999999</v>
      </c>
      <c r="Y122" s="18">
        <v>0.231083333333333</v>
      </c>
      <c r="Z122" s="18">
        <v>0.501</v>
      </c>
      <c r="AA122" s="13">
        <v>13370463231.700001</v>
      </c>
      <c r="AB122" s="13">
        <v>22441567213</v>
      </c>
      <c r="AC122" s="13">
        <v>11779928744.9167</v>
      </c>
      <c r="AD122" s="13">
        <v>19722399387</v>
      </c>
      <c r="AE122" s="13">
        <f t="shared" si="33"/>
        <v>1152</v>
      </c>
      <c r="AF122" s="14">
        <f t="shared" si="34"/>
        <v>20</v>
      </c>
      <c r="AG122" s="14">
        <f t="shared" si="35"/>
        <v>11</v>
      </c>
      <c r="AH122" s="19">
        <f t="shared" si="36"/>
        <v>3.225806451612903</v>
      </c>
      <c r="AI122" s="19">
        <f t="shared" si="37"/>
        <v>13.370463231700001</v>
      </c>
      <c r="AJ122" s="19">
        <f t="shared" si="38"/>
        <v>22.441567212999999</v>
      </c>
      <c r="AK122" s="19">
        <f t="shared" si="39"/>
        <v>11.779928744916701</v>
      </c>
      <c r="AL122" s="19">
        <f t="shared" si="40"/>
        <v>19.722399386999999</v>
      </c>
      <c r="AM122" s="20">
        <f>AI122/Assumptions!$B$13</f>
        <v>0.21222957510634921</v>
      </c>
      <c r="AN122" s="20">
        <f>AK122/Assumptions!$B$13</f>
        <v>0.18698299595105874</v>
      </c>
      <c r="AO122" s="19">
        <f t="shared" si="41"/>
        <v>25.936936639860953</v>
      </c>
      <c r="AP122" s="17">
        <f>H122*Assumptions!$B$16/1000000000000</f>
        <v>72.169850990083418</v>
      </c>
      <c r="AQ122" s="14">
        <f>AP122/Assumptions!$B$9</f>
        <v>18.042462747520855</v>
      </c>
      <c r="AR122" s="20">
        <f>AQ122/Assumptions!$B$11</f>
        <v>1.8042462747520853E-2</v>
      </c>
      <c r="AS122" s="14">
        <f t="shared" si="42"/>
        <v>26.478159936873652</v>
      </c>
      <c r="AT122" s="14">
        <f>Assumptions!$B$21*O122/100</f>
        <v>2.0458820898437495</v>
      </c>
      <c r="AU122" s="14">
        <f>Assumptions!$B$21*P122/100</f>
        <v>3.0006270651041667</v>
      </c>
      <c r="AV122" s="18">
        <f>H122/(K122*Assumptions!$B$9)</f>
        <v>0.54910410699132195</v>
      </c>
      <c r="AW122" s="18">
        <f t="shared" si="43"/>
        <v>0.10712196159778713</v>
      </c>
    </row>
    <row r="123" spans="1:49" x14ac:dyDescent="0.2">
      <c r="A123" s="16">
        <v>1024</v>
      </c>
      <c r="B123" s="16">
        <v>128</v>
      </c>
      <c r="C123" s="16">
        <v>10</v>
      </c>
      <c r="D123" s="16">
        <v>100</v>
      </c>
      <c r="E123" s="16">
        <v>21</v>
      </c>
      <c r="F123" s="17">
        <v>95.681327519705505</v>
      </c>
      <c r="G123" s="14">
        <v>36.853695931660702</v>
      </c>
      <c r="H123" s="17">
        <v>858.781966550211</v>
      </c>
      <c r="I123" s="14">
        <v>71.900000000000006</v>
      </c>
      <c r="J123" s="16">
        <v>100</v>
      </c>
      <c r="K123" s="14">
        <v>205.2</v>
      </c>
      <c r="L123" s="14">
        <v>289.3</v>
      </c>
      <c r="M123" s="13">
        <v>87187</v>
      </c>
      <c r="N123" s="13">
        <v>87187</v>
      </c>
      <c r="O123" s="14">
        <v>2.75</v>
      </c>
      <c r="P123" s="14">
        <v>5.5</v>
      </c>
      <c r="Q123" s="18">
        <v>0.71265000000000001</v>
      </c>
      <c r="R123" s="18">
        <v>0.99399999999999999</v>
      </c>
      <c r="S123" s="18">
        <v>0.295375</v>
      </c>
      <c r="T123" s="18">
        <v>0.503</v>
      </c>
      <c r="U123" s="18">
        <v>2.4549999999999999E-2</v>
      </c>
      <c r="V123" s="18">
        <v>4.8000000000000001E-2</v>
      </c>
      <c r="W123" s="18">
        <v>7.2150000000000006E-2</v>
      </c>
      <c r="X123" s="18">
        <v>0.125</v>
      </c>
      <c r="Y123" s="18">
        <v>0.27782499999999999</v>
      </c>
      <c r="Z123" s="18">
        <v>0.48399999999999999</v>
      </c>
      <c r="AA123" s="13">
        <v>7317990926.9250002</v>
      </c>
      <c r="AB123" s="13">
        <v>12715695950</v>
      </c>
      <c r="AC123" s="13">
        <v>6513288708.3500004</v>
      </c>
      <c r="AD123" s="13">
        <v>11427012742</v>
      </c>
      <c r="AE123" s="13">
        <f t="shared" si="33"/>
        <v>1152</v>
      </c>
      <c r="AF123" s="14">
        <f t="shared" si="34"/>
        <v>10</v>
      </c>
      <c r="AG123" s="14">
        <f t="shared" si="35"/>
        <v>11</v>
      </c>
      <c r="AH123" s="19">
        <f t="shared" si="36"/>
        <v>4.7619047619047619</v>
      </c>
      <c r="AI123" s="19">
        <f t="shared" si="37"/>
        <v>7.3179909269249999</v>
      </c>
      <c r="AJ123" s="19">
        <f t="shared" si="38"/>
        <v>12.715695950000001</v>
      </c>
      <c r="AK123" s="19">
        <f t="shared" si="39"/>
        <v>6.5132887083500002</v>
      </c>
      <c r="AL123" s="19">
        <f t="shared" si="40"/>
        <v>11.427012742000001</v>
      </c>
      <c r="AM123" s="20">
        <f>AI123/Assumptions!$B$13</f>
        <v>0.11615858614166666</v>
      </c>
      <c r="AN123" s="20">
        <f>AK123/Assumptions!$B$13</f>
        <v>0.1033855350531746</v>
      </c>
      <c r="AO123" s="19">
        <f t="shared" si="41"/>
        <v>8.5213607317837567</v>
      </c>
      <c r="AP123" s="17">
        <f>H123*Assumptions!$B$16/1000000000000</f>
        <v>120.22947531702955</v>
      </c>
      <c r="AQ123" s="14">
        <f>AP123/Assumptions!$B$9</f>
        <v>30.057368829257388</v>
      </c>
      <c r="AR123" s="20">
        <f>AQ123/Assumptions!$B$11</f>
        <v>3.0057368829257389E-2</v>
      </c>
      <c r="AS123" s="14">
        <f t="shared" si="42"/>
        <v>31.649289466835089</v>
      </c>
      <c r="AT123" s="14">
        <f>Assumptions!$B$21*O123/100</f>
        <v>1.875391915690104</v>
      </c>
      <c r="AU123" s="14">
        <f>Assumptions!$B$21*P123/100</f>
        <v>3.750783831380208</v>
      </c>
      <c r="AV123" s="18">
        <f>H123/(K123*Assumptions!$B$9)</f>
        <v>1.0462743257190681</v>
      </c>
      <c r="AW123" s="18">
        <f t="shared" si="43"/>
        <v>8.3114684722809987E-2</v>
      </c>
    </row>
    <row r="124" spans="1:49" x14ac:dyDescent="0.2">
      <c r="A124" s="16">
        <v>1024</v>
      </c>
      <c r="B124" s="16">
        <v>128</v>
      </c>
      <c r="C124" s="16">
        <v>20</v>
      </c>
      <c r="D124" s="16">
        <v>100</v>
      </c>
      <c r="E124" s="16">
        <v>17</v>
      </c>
      <c r="F124" s="17">
        <v>111.000139970565</v>
      </c>
      <c r="G124" s="14">
        <v>41.724799253442399</v>
      </c>
      <c r="H124" s="17">
        <v>1199.88952985842</v>
      </c>
      <c r="I124" s="14">
        <v>66</v>
      </c>
      <c r="J124" s="16">
        <v>100</v>
      </c>
      <c r="K124" s="14">
        <v>200.6</v>
      </c>
      <c r="L124" s="14">
        <v>342.2</v>
      </c>
      <c r="M124" s="13">
        <v>87187</v>
      </c>
      <c r="N124" s="13">
        <v>87187</v>
      </c>
      <c r="O124" s="14">
        <v>2.7</v>
      </c>
      <c r="P124" s="14">
        <v>2.7</v>
      </c>
      <c r="Q124" s="18">
        <v>0.63868749999999996</v>
      </c>
      <c r="R124" s="18">
        <v>0.995</v>
      </c>
      <c r="S124" s="18">
        <v>0.26484374999999999</v>
      </c>
      <c r="T124" s="18">
        <v>0.45300000000000001</v>
      </c>
      <c r="U124" s="18">
        <v>2.1187500000000001E-2</v>
      </c>
      <c r="V124" s="18">
        <v>3.9E-2</v>
      </c>
      <c r="W124" s="18">
        <v>8.7406250000000005E-2</v>
      </c>
      <c r="X124" s="18">
        <v>0.2</v>
      </c>
      <c r="Y124" s="18">
        <v>0.2421875</v>
      </c>
      <c r="Z124" s="18">
        <v>0.45600000000000002</v>
      </c>
      <c r="AA124" s="13">
        <v>6388549409.09375</v>
      </c>
      <c r="AB124" s="13">
        <v>11405963560</v>
      </c>
      <c r="AC124" s="13">
        <v>5650349753.5</v>
      </c>
      <c r="AD124" s="13">
        <v>10064295201</v>
      </c>
      <c r="AE124" s="13">
        <f t="shared" si="33"/>
        <v>1152</v>
      </c>
      <c r="AF124" s="14">
        <f t="shared" si="34"/>
        <v>5</v>
      </c>
      <c r="AG124" s="14">
        <f t="shared" si="35"/>
        <v>12</v>
      </c>
      <c r="AH124" s="19">
        <f t="shared" si="36"/>
        <v>5.882352941176471</v>
      </c>
      <c r="AI124" s="19">
        <f t="shared" si="37"/>
        <v>6.3885494090937502</v>
      </c>
      <c r="AJ124" s="19">
        <f t="shared" si="38"/>
        <v>11.40596356</v>
      </c>
      <c r="AK124" s="19">
        <f t="shared" si="39"/>
        <v>5.6503497534999996</v>
      </c>
      <c r="AL124" s="19">
        <f t="shared" si="40"/>
        <v>10.064295201</v>
      </c>
      <c r="AM124" s="20">
        <f>AI124/Assumptions!$B$13</f>
        <v>0.10140554617609128</v>
      </c>
      <c r="AN124" s="20">
        <f>AK124/Assumptions!$B$13</f>
        <v>8.9688091325396818E-2</v>
      </c>
      <c r="AO124" s="19">
        <f t="shared" si="41"/>
        <v>5.3242813193374241</v>
      </c>
      <c r="AP124" s="17">
        <f>H124*Assumptions!$B$16/1000000000000</f>
        <v>167.98453418017883</v>
      </c>
      <c r="AQ124" s="14">
        <f>AP124/Assumptions!$B$9</f>
        <v>41.996133545044707</v>
      </c>
      <c r="AR124" s="20">
        <f>AQ124/Assumptions!$B$11</f>
        <v>4.1996133545044709E-2</v>
      </c>
      <c r="AS124" s="14">
        <f t="shared" si="42"/>
        <v>50.065149759649955</v>
      </c>
      <c r="AT124" s="14">
        <f>Assumptions!$B$21*O124/100</f>
        <v>1.8412938808593748</v>
      </c>
      <c r="AU124" s="14">
        <f>Assumptions!$B$21*P124/100</f>
        <v>1.8412938808593748</v>
      </c>
      <c r="AV124" s="18">
        <f>H124/(K124*Assumptions!$B$9)</f>
        <v>1.4953757849681206</v>
      </c>
      <c r="AW124" s="18">
        <f t="shared" si="43"/>
        <v>8.0000000000000016E-2</v>
      </c>
    </row>
    <row r="125" spans="1:49" x14ac:dyDescent="0.2">
      <c r="A125" s="16">
        <v>1024</v>
      </c>
      <c r="B125" s="16">
        <v>128</v>
      </c>
      <c r="C125" s="16">
        <v>50</v>
      </c>
      <c r="D125" s="16">
        <v>100</v>
      </c>
      <c r="E125" s="16">
        <v>15</v>
      </c>
      <c r="F125" s="17">
        <v>119.278628251632</v>
      </c>
      <c r="G125" s="14">
        <v>44.8945887640186</v>
      </c>
      <c r="H125" s="17">
        <v>1513.07907136373</v>
      </c>
      <c r="I125" s="14">
        <v>62.2</v>
      </c>
      <c r="J125" s="16">
        <v>100</v>
      </c>
      <c r="K125" s="14">
        <v>195.5</v>
      </c>
      <c r="L125" s="14">
        <v>345.6</v>
      </c>
      <c r="M125" s="13">
        <v>87187</v>
      </c>
      <c r="N125" s="13">
        <v>87187</v>
      </c>
      <c r="O125" s="14">
        <v>2.0499999999999998</v>
      </c>
      <c r="P125" s="14">
        <v>4.0999999999999996</v>
      </c>
      <c r="Q125" s="18">
        <v>0.61</v>
      </c>
      <c r="R125" s="18">
        <v>0.996</v>
      </c>
      <c r="S125" s="18">
        <v>0.23300000000000001</v>
      </c>
      <c r="T125" s="18">
        <v>0.44</v>
      </c>
      <c r="U125" s="18">
        <v>1.8857142857142802E-2</v>
      </c>
      <c r="V125" s="18">
        <v>3.7999999999999999E-2</v>
      </c>
      <c r="W125" s="18">
        <v>8.3500000000000005E-2</v>
      </c>
      <c r="X125" s="18">
        <v>0.19500000000000001</v>
      </c>
      <c r="Y125" s="18">
        <v>0.220535714285714</v>
      </c>
      <c r="Z125" s="18">
        <v>0.437</v>
      </c>
      <c r="AA125" s="13">
        <v>6158842247.5</v>
      </c>
      <c r="AB125" s="13">
        <v>11720874376</v>
      </c>
      <c r="AC125" s="13">
        <v>5422940065.3928604</v>
      </c>
      <c r="AD125" s="13">
        <v>10260700241</v>
      </c>
      <c r="AE125" s="13">
        <f t="shared" si="33"/>
        <v>1152</v>
      </c>
      <c r="AF125" s="14">
        <f t="shared" si="34"/>
        <v>2</v>
      </c>
      <c r="AG125" s="14">
        <f t="shared" si="35"/>
        <v>13</v>
      </c>
      <c r="AH125" s="19">
        <f t="shared" si="36"/>
        <v>6.666666666666667</v>
      </c>
      <c r="AI125" s="19">
        <f t="shared" si="37"/>
        <v>6.1588422475</v>
      </c>
      <c r="AJ125" s="19">
        <f t="shared" si="38"/>
        <v>11.720874375999999</v>
      </c>
      <c r="AK125" s="19">
        <f t="shared" si="39"/>
        <v>5.4229400653928606</v>
      </c>
      <c r="AL125" s="19">
        <f t="shared" si="40"/>
        <v>10.260700241</v>
      </c>
      <c r="AM125" s="20">
        <f>AI125/Assumptions!$B$13</f>
        <v>9.7759400753968259E-2</v>
      </c>
      <c r="AN125" s="20">
        <f>AK125/Assumptions!$B$13</f>
        <v>8.6078413736394618E-2</v>
      </c>
      <c r="AO125" s="19">
        <f t="shared" si="41"/>
        <v>4.0704034336745325</v>
      </c>
      <c r="AP125" s="17">
        <f>H125*Assumptions!$B$16/1000000000000</f>
        <v>211.83106999092217</v>
      </c>
      <c r="AQ125" s="14">
        <f>AP125/Assumptions!$B$9</f>
        <v>52.957767497730543</v>
      </c>
      <c r="AR125" s="20">
        <f>AQ125/Assumptions!$B$11</f>
        <v>5.295776749773054E-2</v>
      </c>
      <c r="AS125" s="14">
        <f t="shared" si="42"/>
        <v>67.929062676317812</v>
      </c>
      <c r="AT125" s="14">
        <f>Assumptions!$B$21*O125/100</f>
        <v>1.3980194280598954</v>
      </c>
      <c r="AU125" s="14">
        <f>Assumptions!$B$21*P125/100</f>
        <v>2.7960388561197909</v>
      </c>
      <c r="AV125" s="18">
        <f>H125/(K125*Assumptions!$B$9)</f>
        <v>1.9348837229715217</v>
      </c>
      <c r="AW125" s="18">
        <f t="shared" si="43"/>
        <v>8.0931943592887551E-2</v>
      </c>
    </row>
    <row r="126" spans="1:49" x14ac:dyDescent="0.2">
      <c r="A126" s="16">
        <v>1024</v>
      </c>
      <c r="B126" s="16">
        <v>128</v>
      </c>
      <c r="C126" s="16">
        <v>100</v>
      </c>
      <c r="D126" s="16">
        <v>100</v>
      </c>
      <c r="E126" s="16">
        <v>14</v>
      </c>
      <c r="F126" s="17">
        <v>126.374339379836</v>
      </c>
      <c r="G126" s="14">
        <v>45.393493054822699</v>
      </c>
      <c r="H126" s="17">
        <v>1650.5342481177399</v>
      </c>
      <c r="I126" s="14">
        <v>56.8</v>
      </c>
      <c r="J126" s="16">
        <v>100</v>
      </c>
      <c r="K126" s="14">
        <v>178.7</v>
      </c>
      <c r="L126" s="14">
        <v>305.2</v>
      </c>
      <c r="M126" s="13">
        <v>87187</v>
      </c>
      <c r="N126" s="13">
        <v>87187</v>
      </c>
      <c r="O126" s="14">
        <v>1.45</v>
      </c>
      <c r="P126" s="14">
        <v>2.9</v>
      </c>
      <c r="Q126" s="18">
        <v>0.56383333333333296</v>
      </c>
      <c r="R126" s="18">
        <v>0.996</v>
      </c>
      <c r="S126" s="18">
        <v>0.19441666666666699</v>
      </c>
      <c r="T126" s="18">
        <v>0.39200000000000002</v>
      </c>
      <c r="U126" s="18">
        <v>1.5375E-2</v>
      </c>
      <c r="V126" s="18">
        <v>0.03</v>
      </c>
      <c r="W126" s="18">
        <v>7.9625000000000001E-2</v>
      </c>
      <c r="X126" s="18">
        <v>0.184</v>
      </c>
      <c r="Y126" s="18">
        <v>0.18704166666666699</v>
      </c>
      <c r="Z126" s="18">
        <v>0.38400000000000001</v>
      </c>
      <c r="AA126" s="13">
        <v>5861519288.75</v>
      </c>
      <c r="AB126" s="13">
        <v>11704619958</v>
      </c>
      <c r="AC126" s="13">
        <v>5138766732.9583302</v>
      </c>
      <c r="AD126" s="13">
        <v>10246351600</v>
      </c>
      <c r="AE126" s="13">
        <f t="shared" si="33"/>
        <v>1152</v>
      </c>
      <c r="AF126" s="14">
        <f t="shared" si="34"/>
        <v>1</v>
      </c>
      <c r="AG126" s="14">
        <f t="shared" si="35"/>
        <v>13</v>
      </c>
      <c r="AH126" s="19">
        <f t="shared" si="36"/>
        <v>7.1428571428571432</v>
      </c>
      <c r="AI126" s="19">
        <f t="shared" si="37"/>
        <v>5.8615192887500003</v>
      </c>
      <c r="AJ126" s="19">
        <f t="shared" si="38"/>
        <v>11.704619958</v>
      </c>
      <c r="AK126" s="19">
        <f t="shared" si="39"/>
        <v>5.13876673295833</v>
      </c>
      <c r="AL126" s="19">
        <f t="shared" si="40"/>
        <v>10.246351600000001</v>
      </c>
      <c r="AM126" s="20">
        <f>AI126/Assumptions!$B$13</f>
        <v>9.3039988710317462E-2</v>
      </c>
      <c r="AN126" s="20">
        <f>AK126/Assumptions!$B$13</f>
        <v>8.1567725919973494E-2</v>
      </c>
      <c r="AO126" s="19">
        <f t="shared" si="41"/>
        <v>3.5512860732423119</v>
      </c>
      <c r="AP126" s="17">
        <f>H126*Assumptions!$B$16/1000000000000</f>
        <v>231.0747947364836</v>
      </c>
      <c r="AQ126" s="14">
        <f>AP126/Assumptions!$B$9</f>
        <v>57.768698684120899</v>
      </c>
      <c r="AR126" s="20">
        <f>AQ126/Assumptions!$B$11</f>
        <v>5.7768698684120899E-2</v>
      </c>
      <c r="AS126" s="14">
        <f t="shared" si="42"/>
        <v>74.923514928679637</v>
      </c>
      <c r="AT126" s="14">
        <f>Assumptions!$B$21*O126/100</f>
        <v>0.98884301009114561</v>
      </c>
      <c r="AU126" s="14">
        <f>Assumptions!$B$21*P126/100</f>
        <v>1.9776860201822912</v>
      </c>
      <c r="AV126" s="18">
        <f>H126/(K126*Assumptions!$B$9)</f>
        <v>2.3090854058726076</v>
      </c>
      <c r="AW126" s="18">
        <f t="shared" si="43"/>
        <v>7.9082726103728976E-2</v>
      </c>
    </row>
    <row r="127" spans="1:49" x14ac:dyDescent="0.2">
      <c r="A127" s="16">
        <v>1024</v>
      </c>
      <c r="B127" s="16">
        <v>512</v>
      </c>
      <c r="C127" s="16">
        <v>5</v>
      </c>
      <c r="D127" s="16">
        <v>100</v>
      </c>
      <c r="E127" s="16">
        <v>49</v>
      </c>
      <c r="F127" s="17">
        <v>106.31844138552</v>
      </c>
      <c r="G127" s="14">
        <v>40.3666253244118</v>
      </c>
      <c r="H127" s="17">
        <v>1207.3743922789799</v>
      </c>
      <c r="I127" s="14">
        <v>84.5</v>
      </c>
      <c r="J127" s="16">
        <v>100</v>
      </c>
      <c r="K127" s="14">
        <v>251.6</v>
      </c>
      <c r="L127" s="14">
        <v>331.5</v>
      </c>
      <c r="M127" s="13">
        <v>87187</v>
      </c>
      <c r="N127" s="13">
        <v>87187</v>
      </c>
      <c r="O127" s="14">
        <v>6.36</v>
      </c>
      <c r="P127" s="14">
        <v>13.1</v>
      </c>
      <c r="Q127" s="18">
        <v>0.87798958333333299</v>
      </c>
      <c r="R127" s="18">
        <v>0.996</v>
      </c>
      <c r="S127" s="18">
        <v>0.372635416666667</v>
      </c>
      <c r="T127" s="18">
        <v>0.53900000000000003</v>
      </c>
      <c r="U127" s="18">
        <v>3.0624999999999999E-2</v>
      </c>
      <c r="V127" s="18">
        <v>5.3999999999999999E-2</v>
      </c>
      <c r="W127" s="18">
        <v>0.1051875</v>
      </c>
      <c r="X127" s="18">
        <v>0.192</v>
      </c>
      <c r="Y127" s="18">
        <v>0.360416666666667</v>
      </c>
      <c r="Z127" s="18">
        <v>0.53600000000000003</v>
      </c>
      <c r="AA127" s="13">
        <v>8524702234.4791698</v>
      </c>
      <c r="AB127" s="13">
        <v>13613185348</v>
      </c>
      <c r="AC127" s="13">
        <v>7552611668.1145802</v>
      </c>
      <c r="AD127" s="13">
        <v>12191612555</v>
      </c>
      <c r="AE127" s="13">
        <f t="shared" si="33"/>
        <v>1536</v>
      </c>
      <c r="AF127" s="14">
        <f t="shared" si="34"/>
        <v>20</v>
      </c>
      <c r="AG127" s="14">
        <f t="shared" si="35"/>
        <v>29</v>
      </c>
      <c r="AH127" s="19">
        <f t="shared" si="36"/>
        <v>2.0408163265306123</v>
      </c>
      <c r="AI127" s="19">
        <f t="shared" si="37"/>
        <v>8.5247022344791699</v>
      </c>
      <c r="AJ127" s="19">
        <f t="shared" si="38"/>
        <v>13.613185348</v>
      </c>
      <c r="AK127" s="19">
        <f t="shared" si="39"/>
        <v>7.5526116681145803</v>
      </c>
      <c r="AL127" s="19">
        <f t="shared" si="40"/>
        <v>12.191612555000001</v>
      </c>
      <c r="AM127" s="20">
        <f>AI127/Assumptions!$B$13</f>
        <v>0.13531273388062173</v>
      </c>
      <c r="AN127" s="20">
        <f>AK127/Assumptions!$B$13</f>
        <v>0.11988272489070763</v>
      </c>
      <c r="AO127" s="19">
        <f t="shared" si="41"/>
        <v>7.0605292682979348</v>
      </c>
      <c r="AP127" s="17">
        <f>H127*Assumptions!$B$16/1000000000000</f>
        <v>169.03241491905717</v>
      </c>
      <c r="AQ127" s="14">
        <f>AP127/Assumptions!$B$9</f>
        <v>42.258103729764294</v>
      </c>
      <c r="AR127" s="20">
        <f>AQ127/Assumptions!$B$11</f>
        <v>4.2258103729764296E-2</v>
      </c>
      <c r="AS127" s="14">
        <f t="shared" si="42"/>
        <v>48.737629719414983</v>
      </c>
      <c r="AT127" s="14">
        <f>Assumptions!$B$21*O127/100</f>
        <v>4.3372700304687495</v>
      </c>
      <c r="AU127" s="14">
        <f>Assumptions!$B$21*P127/100</f>
        <v>8.9336851256510403</v>
      </c>
      <c r="AV127" s="18">
        <f>H127/(K127*Assumptions!$B$9)</f>
        <v>1.1996963357303061</v>
      </c>
      <c r="AW127" s="18">
        <f t="shared" si="43"/>
        <v>8.2184888044055493E-2</v>
      </c>
    </row>
    <row r="128" spans="1:49" x14ac:dyDescent="0.2">
      <c r="A128" s="16">
        <v>1024</v>
      </c>
      <c r="B128" s="16">
        <v>512</v>
      </c>
      <c r="C128" s="16">
        <v>10</v>
      </c>
      <c r="D128" s="16">
        <v>100</v>
      </c>
      <c r="E128" s="16">
        <v>41</v>
      </c>
      <c r="F128" s="17">
        <v>106.66093837993699</v>
      </c>
      <c r="G128" s="14">
        <v>43.9791690899185</v>
      </c>
      <c r="H128" s="17">
        <v>1453.57568313366</v>
      </c>
      <c r="I128" s="14">
        <v>83</v>
      </c>
      <c r="J128" s="16">
        <v>100</v>
      </c>
      <c r="K128" s="14">
        <v>245.4</v>
      </c>
      <c r="L128" s="14">
        <v>336.9</v>
      </c>
      <c r="M128" s="13">
        <v>87187</v>
      </c>
      <c r="N128" s="13">
        <v>87187</v>
      </c>
      <c r="O128" s="14">
        <v>7.14</v>
      </c>
      <c r="P128" s="14">
        <v>15.1</v>
      </c>
      <c r="Q128" s="18">
        <v>0.85938749999999997</v>
      </c>
      <c r="R128" s="18">
        <v>0.996</v>
      </c>
      <c r="S128" s="18">
        <v>0.3498</v>
      </c>
      <c r="T128" s="18">
        <v>0.54500000000000004</v>
      </c>
      <c r="U128" s="18">
        <v>2.8199999999999999E-2</v>
      </c>
      <c r="V128" s="18">
        <v>5.2999999999999999E-2</v>
      </c>
      <c r="W128" s="18">
        <v>0.11071250000000001</v>
      </c>
      <c r="X128" s="18">
        <v>0.20899999999999999</v>
      </c>
      <c r="Y128" s="18">
        <v>0.33910000000000001</v>
      </c>
      <c r="Z128" s="18">
        <v>0.53700000000000003</v>
      </c>
      <c r="AA128" s="13">
        <v>8847128412.6875</v>
      </c>
      <c r="AB128" s="13">
        <v>12911594400</v>
      </c>
      <c r="AC128" s="13">
        <v>7818553087.4250002</v>
      </c>
      <c r="AD128" s="13">
        <v>11579794502</v>
      </c>
      <c r="AE128" s="13">
        <f t="shared" si="33"/>
        <v>1536</v>
      </c>
      <c r="AF128" s="14">
        <f t="shared" si="34"/>
        <v>10</v>
      </c>
      <c r="AG128" s="14">
        <f t="shared" si="35"/>
        <v>31</v>
      </c>
      <c r="AH128" s="19">
        <f t="shared" si="36"/>
        <v>2.4390243902439024</v>
      </c>
      <c r="AI128" s="19">
        <f t="shared" si="37"/>
        <v>8.8471284126874998</v>
      </c>
      <c r="AJ128" s="19">
        <f t="shared" si="38"/>
        <v>12.9115944</v>
      </c>
      <c r="AK128" s="19">
        <f t="shared" si="39"/>
        <v>7.8185530874250002</v>
      </c>
      <c r="AL128" s="19">
        <f t="shared" si="40"/>
        <v>11.579794502</v>
      </c>
      <c r="AM128" s="20">
        <f>AI128/Assumptions!$B$13</f>
        <v>0.14043060972519841</v>
      </c>
      <c r="AN128" s="20">
        <f>AK128/Assumptions!$B$13</f>
        <v>0.12410401726071429</v>
      </c>
      <c r="AO128" s="19">
        <f t="shared" si="41"/>
        <v>6.0864587343774268</v>
      </c>
      <c r="AP128" s="17">
        <f>H128*Assumptions!$B$16/1000000000000</f>
        <v>203.50059563871241</v>
      </c>
      <c r="AQ128" s="14">
        <f>AP128/Assumptions!$B$9</f>
        <v>50.875148909678103</v>
      </c>
      <c r="AR128" s="20">
        <f>AQ128/Assumptions!$B$11</f>
        <v>5.0875148909678106E-2</v>
      </c>
      <c r="AS128" s="14">
        <f t="shared" si="42"/>
        <v>63.927050753529031</v>
      </c>
      <c r="AT128" s="14">
        <f>Assumptions!$B$21*O128/100</f>
        <v>4.8691993738281241</v>
      </c>
      <c r="AU128" s="14">
        <f>Assumptions!$B$21*P128/100</f>
        <v>10.297606518880206</v>
      </c>
      <c r="AV128" s="18">
        <f>H128/(K128*Assumptions!$B$9)</f>
        <v>1.4808228230783007</v>
      </c>
      <c r="AW128" s="18">
        <f t="shared" si="43"/>
        <v>8.0617495711835338E-2</v>
      </c>
    </row>
    <row r="129" spans="1:49" x14ac:dyDescent="0.2">
      <c r="A129" s="16">
        <v>1024</v>
      </c>
      <c r="B129" s="16">
        <v>512</v>
      </c>
      <c r="C129" s="16">
        <v>20</v>
      </c>
      <c r="D129" s="16">
        <v>100</v>
      </c>
      <c r="E129" s="16">
        <v>39</v>
      </c>
      <c r="F129" s="17">
        <v>111.107884735684</v>
      </c>
      <c r="G129" s="14">
        <v>45.349361632310199</v>
      </c>
      <c r="H129" s="17">
        <v>1617.33395997138</v>
      </c>
      <c r="I129" s="14">
        <v>83.9</v>
      </c>
      <c r="J129" s="16">
        <v>100</v>
      </c>
      <c r="K129" s="14">
        <v>243.7</v>
      </c>
      <c r="L129" s="14">
        <v>352.7</v>
      </c>
      <c r="M129" s="13">
        <v>87187</v>
      </c>
      <c r="N129" s="13">
        <v>87187</v>
      </c>
      <c r="O129" s="14">
        <v>8.875</v>
      </c>
      <c r="P129" s="14">
        <v>16.399999999999999</v>
      </c>
      <c r="Q129" s="18">
        <v>0.84175</v>
      </c>
      <c r="R129" s="18">
        <v>0.996</v>
      </c>
      <c r="S129" s="18">
        <v>0.33169444444444401</v>
      </c>
      <c r="T129" s="18">
        <v>0.499</v>
      </c>
      <c r="U129" s="18">
        <v>2.6388888888888799E-2</v>
      </c>
      <c r="V129" s="18">
        <v>4.5999999999999999E-2</v>
      </c>
      <c r="W129" s="18">
        <v>0.112847222222222</v>
      </c>
      <c r="X129" s="18">
        <v>0.186</v>
      </c>
      <c r="Y129" s="18">
        <v>0.32516666666666699</v>
      </c>
      <c r="Z129" s="18">
        <v>0.48499999999999999</v>
      </c>
      <c r="AA129" s="13">
        <v>8950781510.2361107</v>
      </c>
      <c r="AB129" s="13">
        <v>11994416598</v>
      </c>
      <c r="AC129" s="13">
        <v>7882603602.0833302</v>
      </c>
      <c r="AD129" s="13">
        <v>10498738749</v>
      </c>
      <c r="AE129" s="13">
        <f t="shared" si="33"/>
        <v>1536</v>
      </c>
      <c r="AF129" s="14">
        <f t="shared" si="34"/>
        <v>5</v>
      </c>
      <c r="AG129" s="14">
        <f t="shared" si="35"/>
        <v>34</v>
      </c>
      <c r="AH129" s="19">
        <f t="shared" si="36"/>
        <v>2.5641025641025643</v>
      </c>
      <c r="AI129" s="19">
        <f t="shared" si="37"/>
        <v>8.9507815102361103</v>
      </c>
      <c r="AJ129" s="19">
        <f t="shared" si="38"/>
        <v>11.994416598000001</v>
      </c>
      <c r="AK129" s="19">
        <f t="shared" si="39"/>
        <v>7.8826036020833303</v>
      </c>
      <c r="AL129" s="19">
        <f t="shared" si="40"/>
        <v>10.498738748999999</v>
      </c>
      <c r="AM129" s="20">
        <f>AI129/Assumptions!$B$13</f>
        <v>0.14207589698787476</v>
      </c>
      <c r="AN129" s="20">
        <f>AK129/Assumptions!$B$13</f>
        <v>0.12512069209656079</v>
      </c>
      <c r="AO129" s="19">
        <f t="shared" si="41"/>
        <v>5.5342815595082797</v>
      </c>
      <c r="AP129" s="17">
        <f>H129*Assumptions!$B$16/1000000000000</f>
        <v>226.42675439599319</v>
      </c>
      <c r="AQ129" s="14">
        <f>AP129/Assumptions!$B$9</f>
        <v>56.606688598998296</v>
      </c>
      <c r="AR129" s="20">
        <f>AQ129/Assumptions!$B$11</f>
        <v>5.6606688598998298E-2</v>
      </c>
      <c r="AS129" s="14">
        <f t="shared" si="42"/>
        <v>73.345062630958424</v>
      </c>
      <c r="AT129" s="14">
        <f>Assumptions!$B$21*O129/100</f>
        <v>6.0524011824544264</v>
      </c>
      <c r="AU129" s="14">
        <f>Assumptions!$B$21*P129/100</f>
        <v>11.184155424479163</v>
      </c>
      <c r="AV129" s="18">
        <f>H129/(K129*Assumptions!$B$9)</f>
        <v>1.6591443988216865</v>
      </c>
      <c r="AW129" s="18">
        <f t="shared" si="43"/>
        <v>7.9557825977723637E-2</v>
      </c>
    </row>
    <row r="130" spans="1:49" x14ac:dyDescent="0.2">
      <c r="A130" s="16">
        <v>1024</v>
      </c>
      <c r="B130" s="16">
        <v>512</v>
      </c>
      <c r="C130" s="16">
        <v>50</v>
      </c>
      <c r="D130" s="16">
        <v>100</v>
      </c>
      <c r="E130" s="16">
        <v>36</v>
      </c>
      <c r="F130" s="17">
        <v>118.855293174856</v>
      </c>
      <c r="G130" s="14">
        <v>46.007849820533799</v>
      </c>
      <c r="H130" s="17">
        <v>1726.2338288123899</v>
      </c>
      <c r="I130" s="14">
        <v>83.1</v>
      </c>
      <c r="J130" s="16">
        <v>100</v>
      </c>
      <c r="K130" s="14">
        <v>244</v>
      </c>
      <c r="L130" s="14">
        <v>344.9</v>
      </c>
      <c r="M130" s="13">
        <v>87187</v>
      </c>
      <c r="N130" s="13">
        <v>87187</v>
      </c>
      <c r="O130" s="14">
        <v>10.15</v>
      </c>
      <c r="P130" s="14">
        <v>15.9</v>
      </c>
      <c r="Q130" s="18">
        <v>0.83977941176470605</v>
      </c>
      <c r="R130" s="18">
        <v>0.996</v>
      </c>
      <c r="S130" s="18">
        <v>0.31864705882352901</v>
      </c>
      <c r="T130" s="18">
        <v>0.47199999999999998</v>
      </c>
      <c r="U130" s="18">
        <v>2.5147058823529401E-2</v>
      </c>
      <c r="V130" s="18">
        <v>4.2999999999999997E-2</v>
      </c>
      <c r="W130" s="18">
        <v>0.113367647058824</v>
      </c>
      <c r="X130" s="18">
        <v>0.19600000000000001</v>
      </c>
      <c r="Y130" s="18">
        <v>0.317323529411765</v>
      </c>
      <c r="Z130" s="18">
        <v>0.45500000000000002</v>
      </c>
      <c r="AA130" s="13">
        <v>9200249707.5294094</v>
      </c>
      <c r="AB130" s="13">
        <v>12686744484</v>
      </c>
      <c r="AC130" s="13">
        <v>8084655572.6617699</v>
      </c>
      <c r="AD130" s="13">
        <v>11474481057</v>
      </c>
      <c r="AE130" s="13">
        <f t="shared" ref="AE130:AE151" si="44">A130+B130</f>
        <v>1536</v>
      </c>
      <c r="AF130" s="14">
        <f t="shared" ref="AF130:AF151" si="45">D130/C130</f>
        <v>2</v>
      </c>
      <c r="AG130" s="14">
        <f t="shared" ref="AG130:AG151" si="46">E130-AF130</f>
        <v>34</v>
      </c>
      <c r="AH130" s="19">
        <f t="shared" ref="AH130:AH151" si="47">D130/E130</f>
        <v>2.7777777777777777</v>
      </c>
      <c r="AI130" s="19">
        <f t="shared" ref="AI130:AI151" si="48">AA130/1000000000</f>
        <v>9.2002497075294087</v>
      </c>
      <c r="AJ130" s="19">
        <f t="shared" ref="AJ130:AJ151" si="49">AB130/1000000000</f>
        <v>12.686744484</v>
      </c>
      <c r="AK130" s="19">
        <f t="shared" ref="AK130:AK151" si="50">AC130/1000000000</f>
        <v>8.0846555726617702</v>
      </c>
      <c r="AL130" s="19">
        <f t="shared" ref="AL130:AL151" si="51">AD130/1000000000</f>
        <v>11.474481057</v>
      </c>
      <c r="AM130" s="20">
        <f>AI130/Assumptions!$B$13</f>
        <v>0.14603570964332394</v>
      </c>
      <c r="AN130" s="20">
        <f>AK130/Assumptions!$B$13</f>
        <v>0.12832786623272652</v>
      </c>
      <c r="AO130" s="19">
        <f t="shared" ref="AO130:AO151" si="52">AA130/H130/1000000</f>
        <v>5.3296659780204712</v>
      </c>
      <c r="AP130" s="17">
        <f>H130*Assumptions!$B$16/1000000000000</f>
        <v>241.67273603373459</v>
      </c>
      <c r="AQ130" s="14">
        <f>AP130/Assumptions!$B$9</f>
        <v>60.418184008433649</v>
      </c>
      <c r="AR130" s="20">
        <f>AQ130/Assumptions!$B$11</f>
        <v>6.0418184008433649E-2</v>
      </c>
      <c r="AS130" s="14">
        <f t="shared" ref="AS130:AS151" si="53">H130*G130/1000</f>
        <v>79.420306751125494</v>
      </c>
      <c r="AT130" s="14">
        <f>Assumptions!$B$21*O130/100</f>
        <v>6.92190107063802</v>
      </c>
      <c r="AU130" s="14">
        <f>Assumptions!$B$21*P130/100</f>
        <v>10.843175076171875</v>
      </c>
      <c r="AV130" s="18">
        <f>H130/(K130*Assumptions!$B$9)</f>
        <v>1.7686822016520389</v>
      </c>
      <c r="AW130" s="18">
        <f t="shared" ref="AW130:AW151" si="54">U130/S130</f>
        <v>7.8918220417205157E-2</v>
      </c>
    </row>
    <row r="131" spans="1:49" x14ac:dyDescent="0.2">
      <c r="A131" s="16">
        <v>1024</v>
      </c>
      <c r="B131" s="16">
        <v>512</v>
      </c>
      <c r="C131" s="16">
        <v>100</v>
      </c>
      <c r="D131" s="16">
        <v>100</v>
      </c>
      <c r="E131" s="16">
        <v>36</v>
      </c>
      <c r="F131" s="17">
        <v>125.29577336972601</v>
      </c>
      <c r="G131" s="14">
        <v>46.0707943919356</v>
      </c>
      <c r="H131" s="17">
        <v>1761.70388258956</v>
      </c>
      <c r="I131" s="14">
        <v>83.1</v>
      </c>
      <c r="J131" s="16">
        <v>100</v>
      </c>
      <c r="K131" s="14">
        <v>241.7</v>
      </c>
      <c r="L131" s="14">
        <v>303.10000000000002</v>
      </c>
      <c r="M131" s="13">
        <v>87187</v>
      </c>
      <c r="N131" s="13">
        <v>87187</v>
      </c>
      <c r="O131" s="14">
        <v>13.7</v>
      </c>
      <c r="P131" s="14">
        <v>15.8</v>
      </c>
      <c r="Q131" s="18">
        <v>0.84314705882353003</v>
      </c>
      <c r="R131" s="18">
        <v>1</v>
      </c>
      <c r="S131" s="18">
        <v>0.31819117647058798</v>
      </c>
      <c r="T131" s="18">
        <v>0.496</v>
      </c>
      <c r="U131" s="18">
        <v>2.5205882352941099E-2</v>
      </c>
      <c r="V131" s="18">
        <v>4.4999999999999998E-2</v>
      </c>
      <c r="W131" s="18">
        <v>0.112147058823529</v>
      </c>
      <c r="X131" s="18">
        <v>0.182</v>
      </c>
      <c r="Y131" s="18">
        <v>0.32022058823529398</v>
      </c>
      <c r="Z131" s="18">
        <v>0.48</v>
      </c>
      <c r="AA131" s="13">
        <v>9211064633.1764698</v>
      </c>
      <c r="AB131" s="13">
        <v>11999842643</v>
      </c>
      <c r="AC131" s="13">
        <v>8092855699.4117699</v>
      </c>
      <c r="AD131" s="13">
        <v>10922323420</v>
      </c>
      <c r="AE131" s="13">
        <f t="shared" si="44"/>
        <v>1536</v>
      </c>
      <c r="AF131" s="14">
        <f t="shared" si="45"/>
        <v>1</v>
      </c>
      <c r="AG131" s="14">
        <f t="shared" si="46"/>
        <v>35</v>
      </c>
      <c r="AH131" s="19">
        <f t="shared" si="47"/>
        <v>2.7777777777777777</v>
      </c>
      <c r="AI131" s="19">
        <f t="shared" si="48"/>
        <v>9.2110646331764698</v>
      </c>
      <c r="AJ131" s="19">
        <f t="shared" si="49"/>
        <v>11.999842642999999</v>
      </c>
      <c r="AK131" s="19">
        <f t="shared" si="50"/>
        <v>8.0928556994117695</v>
      </c>
      <c r="AL131" s="19">
        <f t="shared" si="51"/>
        <v>10.92232342</v>
      </c>
      <c r="AM131" s="20">
        <f>AI131/Assumptions!$B$13</f>
        <v>0.14620737512978524</v>
      </c>
      <c r="AN131" s="20">
        <f>AK131/Assumptions!$B$13</f>
        <v>0.12845802697479</v>
      </c>
      <c r="AO131" s="19">
        <f t="shared" si="52"/>
        <v>5.2284976630902129</v>
      </c>
      <c r="AP131" s="17">
        <f>H131*Assumptions!$B$16/1000000000000</f>
        <v>246.63854356253842</v>
      </c>
      <c r="AQ131" s="14">
        <f>AP131/Assumptions!$B$9</f>
        <v>61.659635890634604</v>
      </c>
      <c r="AR131" s="20">
        <f>AQ131/Assumptions!$B$11</f>
        <v>6.1659635890634605E-2</v>
      </c>
      <c r="AS131" s="14">
        <f t="shared" si="53"/>
        <v>81.163097354258269</v>
      </c>
      <c r="AT131" s="14">
        <f>Assumptions!$B$21*O131/100</f>
        <v>9.3428615436197902</v>
      </c>
      <c r="AU131" s="14">
        <f>Assumptions!$B$21*P131/100</f>
        <v>10.774979006510415</v>
      </c>
      <c r="AV131" s="18">
        <f>H131/(K131*Assumptions!$B$9)</f>
        <v>1.8222009542713695</v>
      </c>
      <c r="AW131" s="18">
        <f t="shared" si="54"/>
        <v>7.9216157507972271E-2</v>
      </c>
    </row>
    <row r="132" spans="1:49" x14ac:dyDescent="0.2">
      <c r="A132" s="16">
        <v>1024</v>
      </c>
      <c r="B132" s="16">
        <v>1024</v>
      </c>
      <c r="C132" s="16">
        <v>5</v>
      </c>
      <c r="D132" s="16">
        <v>100</v>
      </c>
      <c r="E132" s="16">
        <v>77</v>
      </c>
      <c r="F132" s="17">
        <v>107.596955047338</v>
      </c>
      <c r="G132" s="14">
        <v>44.305318596677303</v>
      </c>
      <c r="H132" s="17">
        <v>1442.37204954853</v>
      </c>
      <c r="I132" s="14">
        <v>89.4</v>
      </c>
      <c r="J132" s="16">
        <v>100</v>
      </c>
      <c r="K132" s="14">
        <v>255.6</v>
      </c>
      <c r="L132" s="14">
        <v>323.10000000000002</v>
      </c>
      <c r="M132" s="13">
        <v>87187</v>
      </c>
      <c r="N132" s="13">
        <v>87187</v>
      </c>
      <c r="O132" s="14">
        <v>12.2</v>
      </c>
      <c r="P132" s="14">
        <v>19.100000000000001</v>
      </c>
      <c r="Q132" s="18">
        <v>0.91668421052631599</v>
      </c>
      <c r="R132" s="18">
        <v>0.996</v>
      </c>
      <c r="S132" s="18">
        <v>0.39055921052631598</v>
      </c>
      <c r="T132" s="18">
        <v>0.55900000000000005</v>
      </c>
      <c r="U132" s="18">
        <v>3.1388157894736798E-2</v>
      </c>
      <c r="V132" s="18">
        <v>5.5E-2</v>
      </c>
      <c r="W132" s="18">
        <v>0.114789473684211</v>
      </c>
      <c r="X132" s="18">
        <v>0.186</v>
      </c>
      <c r="Y132" s="18">
        <v>0.38518421052631602</v>
      </c>
      <c r="Z132" s="18">
        <v>0.58099999999999996</v>
      </c>
      <c r="AA132" s="13">
        <v>9295969410.2171097</v>
      </c>
      <c r="AB132" s="13">
        <v>13621268161</v>
      </c>
      <c r="AC132" s="13">
        <v>8183172715.7434196</v>
      </c>
      <c r="AD132" s="13">
        <v>12207826766</v>
      </c>
      <c r="AE132" s="13">
        <f t="shared" si="44"/>
        <v>2048</v>
      </c>
      <c r="AF132" s="14">
        <f t="shared" si="45"/>
        <v>20</v>
      </c>
      <c r="AG132" s="14">
        <f t="shared" si="46"/>
        <v>57</v>
      </c>
      <c r="AH132" s="19">
        <f t="shared" si="47"/>
        <v>1.2987012987012987</v>
      </c>
      <c r="AI132" s="19">
        <f t="shared" si="48"/>
        <v>9.2959694102171095</v>
      </c>
      <c r="AJ132" s="19">
        <f t="shared" si="49"/>
        <v>13.621268161</v>
      </c>
      <c r="AK132" s="19">
        <f t="shared" si="50"/>
        <v>8.1831727157434191</v>
      </c>
      <c r="AL132" s="19">
        <f t="shared" si="51"/>
        <v>12.207826766</v>
      </c>
      <c r="AM132" s="20">
        <f>AI132/Assumptions!$B$13</f>
        <v>0.14755507000344617</v>
      </c>
      <c r="AN132" s="20">
        <f>AK132/Assumptions!$B$13</f>
        <v>0.1298916304086257</v>
      </c>
      <c r="AO132" s="19">
        <f t="shared" si="52"/>
        <v>6.4449178789389299</v>
      </c>
      <c r="AP132" s="17">
        <f>H132*Assumptions!$B$16/1000000000000</f>
        <v>201.93208693679418</v>
      </c>
      <c r="AQ132" s="14">
        <f>AP132/Assumptions!$B$9</f>
        <v>50.483021734198545</v>
      </c>
      <c r="AR132" s="20">
        <f>AQ132/Assumptions!$B$11</f>
        <v>5.0483021734198545E-2</v>
      </c>
      <c r="AS132" s="14">
        <f t="shared" si="53"/>
        <v>63.904753190190043</v>
      </c>
      <c r="AT132" s="14">
        <f>Assumptions!$B$21*O132/100</f>
        <v>8.3199204986979147</v>
      </c>
      <c r="AU132" s="14">
        <f>Assumptions!$B$21*P132/100</f>
        <v>13.02544930533854</v>
      </c>
      <c r="AV132" s="18">
        <f>H132/(K132*Assumptions!$B$9)</f>
        <v>1.4107707839872163</v>
      </c>
      <c r="AW132" s="18">
        <f t="shared" si="54"/>
        <v>8.0367219742272233E-2</v>
      </c>
    </row>
    <row r="133" spans="1:49" x14ac:dyDescent="0.2">
      <c r="A133" s="16">
        <v>1024</v>
      </c>
      <c r="B133" s="16">
        <v>1024</v>
      </c>
      <c r="C133" s="16">
        <v>10</v>
      </c>
      <c r="D133" s="16">
        <v>100</v>
      </c>
      <c r="E133" s="16">
        <v>70</v>
      </c>
      <c r="F133" s="17">
        <v>104.72763260768301</v>
      </c>
      <c r="G133" s="14">
        <v>45.755962781867701</v>
      </c>
      <c r="H133" s="17">
        <v>1603.36336357958</v>
      </c>
      <c r="I133" s="14">
        <v>91.1</v>
      </c>
      <c r="J133" s="16">
        <v>100</v>
      </c>
      <c r="K133" s="14">
        <v>253.9</v>
      </c>
      <c r="L133" s="14">
        <v>319.5</v>
      </c>
      <c r="M133" s="13">
        <v>87187</v>
      </c>
      <c r="N133" s="13">
        <v>87187</v>
      </c>
      <c r="O133" s="14">
        <v>12.3857142857143</v>
      </c>
      <c r="P133" s="14">
        <v>19.7</v>
      </c>
      <c r="Q133" s="18">
        <v>0.91463970588235299</v>
      </c>
      <c r="R133" s="18">
        <v>0.996</v>
      </c>
      <c r="S133" s="18">
        <v>0.37850735294117599</v>
      </c>
      <c r="T133" s="18">
        <v>0.55300000000000005</v>
      </c>
      <c r="U133" s="18">
        <v>3.0007352941176402E-2</v>
      </c>
      <c r="V133" s="18">
        <v>5.2999999999999999E-2</v>
      </c>
      <c r="W133" s="18">
        <v>0.11885294117647099</v>
      </c>
      <c r="X133" s="18">
        <v>0.2</v>
      </c>
      <c r="Y133" s="18">
        <v>0.37575735294117601</v>
      </c>
      <c r="Z133" s="18">
        <v>0.55200000000000005</v>
      </c>
      <c r="AA133" s="13">
        <v>9511847000.5588303</v>
      </c>
      <c r="AB133" s="13">
        <v>12866650630</v>
      </c>
      <c r="AC133" s="13">
        <v>8352721854.2867699</v>
      </c>
      <c r="AD133" s="13">
        <v>11525446352</v>
      </c>
      <c r="AE133" s="13">
        <f t="shared" si="44"/>
        <v>2048</v>
      </c>
      <c r="AF133" s="14">
        <f t="shared" si="45"/>
        <v>10</v>
      </c>
      <c r="AG133" s="14">
        <f t="shared" si="46"/>
        <v>60</v>
      </c>
      <c r="AH133" s="19">
        <f t="shared" si="47"/>
        <v>1.4285714285714286</v>
      </c>
      <c r="AI133" s="19">
        <f t="shared" si="48"/>
        <v>9.5118470005588307</v>
      </c>
      <c r="AJ133" s="19">
        <f t="shared" si="49"/>
        <v>12.866650630000001</v>
      </c>
      <c r="AK133" s="19">
        <f t="shared" si="50"/>
        <v>8.3527218542867701</v>
      </c>
      <c r="AL133" s="19">
        <f t="shared" si="51"/>
        <v>11.525446351999999</v>
      </c>
      <c r="AM133" s="20">
        <f>AI133/Assumptions!$B$13</f>
        <v>0.15098169842156875</v>
      </c>
      <c r="AN133" s="20">
        <f>AK133/Assumptions!$B$13</f>
        <v>0.13258288657598047</v>
      </c>
      <c r="AO133" s="19">
        <f t="shared" si="52"/>
        <v>5.9324337930007394</v>
      </c>
      <c r="AP133" s="17">
        <f>H133*Assumptions!$B$16/1000000000000</f>
        <v>224.47087090114118</v>
      </c>
      <c r="AQ133" s="14">
        <f>AP133/Assumptions!$B$9</f>
        <v>56.117717725285296</v>
      </c>
      <c r="AR133" s="20">
        <f>AQ133/Assumptions!$B$11</f>
        <v>5.6117717725285295E-2</v>
      </c>
      <c r="AS133" s="14">
        <f t="shared" si="53"/>
        <v>73.363434389757472</v>
      </c>
      <c r="AT133" s="14">
        <f>Assumptions!$B$21*O133/100</f>
        <v>8.4465703423549208</v>
      </c>
      <c r="AU133" s="14">
        <f>Assumptions!$B$21*P133/100</f>
        <v>13.43462572330729</v>
      </c>
      <c r="AV133" s="18">
        <f>H133/(K133*Assumptions!$B$9)</f>
        <v>1.5787350960807207</v>
      </c>
      <c r="AW133" s="18">
        <f t="shared" si="54"/>
        <v>7.9278124210812512E-2</v>
      </c>
    </row>
    <row r="134" spans="1:49" x14ac:dyDescent="0.2">
      <c r="A134" s="16">
        <v>1024</v>
      </c>
      <c r="B134" s="16">
        <v>1024</v>
      </c>
      <c r="C134" s="16">
        <v>20</v>
      </c>
      <c r="D134" s="16">
        <v>100</v>
      </c>
      <c r="E134" s="16">
        <v>67</v>
      </c>
      <c r="F134" s="17">
        <v>110.858263373375</v>
      </c>
      <c r="G134" s="14">
        <v>46.4942171567413</v>
      </c>
      <c r="H134" s="17">
        <v>1688.601335862</v>
      </c>
      <c r="I134" s="14">
        <v>90.9</v>
      </c>
      <c r="J134" s="16">
        <v>100</v>
      </c>
      <c r="K134" s="14">
        <v>255.1</v>
      </c>
      <c r="L134" s="14">
        <v>336</v>
      </c>
      <c r="M134" s="13">
        <v>87187</v>
      </c>
      <c r="N134" s="13">
        <v>87187</v>
      </c>
      <c r="O134" s="14">
        <v>13.1285714285714</v>
      </c>
      <c r="P134" s="14">
        <v>20.6</v>
      </c>
      <c r="Q134" s="18">
        <v>0.91506060606060602</v>
      </c>
      <c r="R134" s="18">
        <v>0.996</v>
      </c>
      <c r="S134" s="18">
        <v>0.37176515151515199</v>
      </c>
      <c r="T134" s="18">
        <v>0.55800000000000005</v>
      </c>
      <c r="U134" s="18">
        <v>2.9348484848484801E-2</v>
      </c>
      <c r="V134" s="18">
        <v>5.2999999999999999E-2</v>
      </c>
      <c r="W134" s="18">
        <v>0.120340909090909</v>
      </c>
      <c r="X134" s="18">
        <v>0.186</v>
      </c>
      <c r="Y134" s="18">
        <v>0.372287878787879</v>
      </c>
      <c r="Z134" s="18">
        <v>0.55600000000000005</v>
      </c>
      <c r="AA134" s="13">
        <v>9605506381.7121201</v>
      </c>
      <c r="AB134" s="13">
        <v>13575698690</v>
      </c>
      <c r="AC134" s="13">
        <v>8430245072.1818199</v>
      </c>
      <c r="AD134" s="13">
        <v>11946571473</v>
      </c>
      <c r="AE134" s="13">
        <f t="shared" si="44"/>
        <v>2048</v>
      </c>
      <c r="AF134" s="14">
        <f t="shared" si="45"/>
        <v>5</v>
      </c>
      <c r="AG134" s="14">
        <f t="shared" si="46"/>
        <v>62</v>
      </c>
      <c r="AH134" s="19">
        <f t="shared" si="47"/>
        <v>1.4925373134328359</v>
      </c>
      <c r="AI134" s="19">
        <f t="shared" si="48"/>
        <v>9.6055063817121198</v>
      </c>
      <c r="AJ134" s="19">
        <f t="shared" si="49"/>
        <v>13.575698689999999</v>
      </c>
      <c r="AK134" s="19">
        <f t="shared" si="50"/>
        <v>8.4302450721818207</v>
      </c>
      <c r="AL134" s="19">
        <f t="shared" si="51"/>
        <v>11.946571473000001</v>
      </c>
      <c r="AM134" s="20">
        <f>AI134/Assumptions!$B$13</f>
        <v>0.15246835526527175</v>
      </c>
      <c r="AN134" s="20">
        <f>AK134/Assumptions!$B$13</f>
        <v>0.13381341384415588</v>
      </c>
      <c r="AO134" s="19">
        <f t="shared" si="52"/>
        <v>5.6884394070484881</v>
      </c>
      <c r="AP134" s="17">
        <f>H134*Assumptions!$B$16/1000000000000</f>
        <v>236.40418702068001</v>
      </c>
      <c r="AQ134" s="14">
        <f>AP134/Assumptions!$B$9</f>
        <v>59.101046755170003</v>
      </c>
      <c r="AR134" s="20">
        <f>AQ134/Assumptions!$B$11</f>
        <v>5.910104675517E-2</v>
      </c>
      <c r="AS134" s="14">
        <f t="shared" si="53"/>
        <v>78.510197200731284</v>
      </c>
      <c r="AT134" s="14">
        <f>Assumptions!$B$21*O134/100</f>
        <v>8.953169716982865</v>
      </c>
      <c r="AU134" s="14">
        <f>Assumptions!$B$21*P134/100</f>
        <v>14.048390350260416</v>
      </c>
      <c r="AV134" s="18">
        <f>H134/(K134*Assumptions!$B$9)</f>
        <v>1.6548425478851432</v>
      </c>
      <c r="AW134" s="18">
        <f t="shared" si="54"/>
        <v>7.8943614614961161E-2</v>
      </c>
    </row>
    <row r="135" spans="1:49" x14ac:dyDescent="0.2">
      <c r="A135" s="16">
        <v>1024</v>
      </c>
      <c r="B135" s="16">
        <v>1024</v>
      </c>
      <c r="C135" s="16">
        <v>50</v>
      </c>
      <c r="D135" s="16">
        <v>100</v>
      </c>
      <c r="E135" s="16">
        <v>65</v>
      </c>
      <c r="F135" s="17">
        <v>118.072991110385</v>
      </c>
      <c r="G135" s="14">
        <v>46.713860446254699</v>
      </c>
      <c r="H135" s="17">
        <v>1741.5868658765401</v>
      </c>
      <c r="I135" s="14">
        <v>90.7</v>
      </c>
      <c r="J135" s="16">
        <v>100</v>
      </c>
      <c r="K135" s="14">
        <v>254.3</v>
      </c>
      <c r="L135" s="14">
        <v>330.2</v>
      </c>
      <c r="M135" s="13">
        <v>87187</v>
      </c>
      <c r="N135" s="13">
        <v>87187</v>
      </c>
      <c r="O135" s="14">
        <v>15.616666666666699</v>
      </c>
      <c r="P135" s="14">
        <v>20.7</v>
      </c>
      <c r="Q135" s="18">
        <v>0.9141796875</v>
      </c>
      <c r="R135" s="18">
        <v>0.996</v>
      </c>
      <c r="S135" s="18">
        <v>0.36550781249999997</v>
      </c>
      <c r="T135" s="18">
        <v>0.55200000000000005</v>
      </c>
      <c r="U135" s="18">
        <v>2.8640624999999999E-2</v>
      </c>
      <c r="V135" s="18">
        <v>5.0999999999999997E-2</v>
      </c>
      <c r="W135" s="18">
        <v>0.12003125000000001</v>
      </c>
      <c r="X135" s="18">
        <v>0.192</v>
      </c>
      <c r="Y135" s="18">
        <v>0.36953906250000002</v>
      </c>
      <c r="Z135" s="18">
        <v>0.54800000000000004</v>
      </c>
      <c r="AA135" s="13">
        <v>9789663839.0468807</v>
      </c>
      <c r="AB135" s="13">
        <v>13428853360</v>
      </c>
      <c r="AC135" s="13">
        <v>8585141342.0703096</v>
      </c>
      <c r="AD135" s="13">
        <v>11857467743</v>
      </c>
      <c r="AE135" s="13">
        <f t="shared" si="44"/>
        <v>2048</v>
      </c>
      <c r="AF135" s="14">
        <f t="shared" si="45"/>
        <v>2</v>
      </c>
      <c r="AG135" s="14">
        <f t="shared" si="46"/>
        <v>63</v>
      </c>
      <c r="AH135" s="19">
        <f t="shared" si="47"/>
        <v>1.5384615384615385</v>
      </c>
      <c r="AI135" s="19">
        <f t="shared" si="48"/>
        <v>9.7896638390468809</v>
      </c>
      <c r="AJ135" s="19">
        <f t="shared" si="49"/>
        <v>13.42885336</v>
      </c>
      <c r="AK135" s="19">
        <f t="shared" si="50"/>
        <v>8.58514134207031</v>
      </c>
      <c r="AL135" s="19">
        <f t="shared" si="51"/>
        <v>11.857467743000001</v>
      </c>
      <c r="AM135" s="20">
        <f>AI135/Assumptions!$B$13</f>
        <v>0.15539148950868065</v>
      </c>
      <c r="AN135" s="20">
        <f>AK135/Assumptions!$B$13</f>
        <v>0.13627208479476682</v>
      </c>
      <c r="AO135" s="19">
        <f t="shared" si="52"/>
        <v>5.6211171724240963</v>
      </c>
      <c r="AP135" s="17">
        <f>H135*Assumptions!$B$16/1000000000000</f>
        <v>243.82216122271561</v>
      </c>
      <c r="AQ135" s="14">
        <f>AP135/Assumptions!$B$9</f>
        <v>60.955540305678902</v>
      </c>
      <c r="AR135" s="20">
        <f>AQ135/Assumptions!$B$11</f>
        <v>6.0955540305678901E-2</v>
      </c>
      <c r="AS135" s="14">
        <f t="shared" si="53"/>
        <v>81.356245807586788</v>
      </c>
      <c r="AT135" s="14">
        <f>Assumptions!$B$21*O135/100</f>
        <v>10.649952878797764</v>
      </c>
      <c r="AU135" s="14">
        <f>Assumptions!$B$21*P135/100</f>
        <v>14.116586419921873</v>
      </c>
      <c r="AV135" s="18">
        <f>H135/(K135*Assumptions!$B$9)</f>
        <v>1.7121380907162209</v>
      </c>
      <c r="AW135" s="18">
        <f t="shared" si="54"/>
        <v>7.8358448220583521E-2</v>
      </c>
    </row>
    <row r="136" spans="1:49" x14ac:dyDescent="0.2">
      <c r="A136" s="16">
        <v>1024</v>
      </c>
      <c r="B136" s="16">
        <v>1024</v>
      </c>
      <c r="C136" s="16">
        <v>100</v>
      </c>
      <c r="D136" s="16">
        <v>100</v>
      </c>
      <c r="E136" s="16">
        <v>64</v>
      </c>
      <c r="F136" s="17">
        <v>123.606678920332</v>
      </c>
      <c r="G136" s="14">
        <v>46.751928510417102</v>
      </c>
      <c r="H136" s="17">
        <v>1758.1702194999</v>
      </c>
      <c r="I136" s="14">
        <v>90.5</v>
      </c>
      <c r="J136" s="16">
        <v>100</v>
      </c>
      <c r="K136" s="14">
        <v>252.2</v>
      </c>
      <c r="L136" s="14">
        <v>303</v>
      </c>
      <c r="M136" s="13">
        <v>87187</v>
      </c>
      <c r="N136" s="13">
        <v>87187</v>
      </c>
      <c r="O136" s="14">
        <v>15.55</v>
      </c>
      <c r="P136" s="14">
        <v>20.7</v>
      </c>
      <c r="Q136" s="18">
        <v>0.91017741935483898</v>
      </c>
      <c r="R136" s="18">
        <v>0.996</v>
      </c>
      <c r="S136" s="18">
        <v>0.35927419354838702</v>
      </c>
      <c r="T136" s="18">
        <v>0.51800000000000002</v>
      </c>
      <c r="U136" s="18">
        <v>2.7935483870967701E-2</v>
      </c>
      <c r="V136" s="18">
        <v>4.7E-2</v>
      </c>
      <c r="W136" s="18">
        <v>0.120193548387097</v>
      </c>
      <c r="X136" s="18">
        <v>0.184</v>
      </c>
      <c r="Y136" s="18">
        <v>0.36477419354838703</v>
      </c>
      <c r="Z136" s="18">
        <v>0.50600000000000001</v>
      </c>
      <c r="AA136" s="13">
        <v>9934712213.5725803</v>
      </c>
      <c r="AB136" s="13">
        <v>13006463613</v>
      </c>
      <c r="AC136" s="13">
        <v>8708428301.6371002</v>
      </c>
      <c r="AD136" s="13">
        <v>11435626125</v>
      </c>
      <c r="AE136" s="13">
        <f t="shared" si="44"/>
        <v>2048</v>
      </c>
      <c r="AF136" s="14">
        <f t="shared" si="45"/>
        <v>1</v>
      </c>
      <c r="AG136" s="14">
        <f t="shared" si="46"/>
        <v>63</v>
      </c>
      <c r="AH136" s="19">
        <f t="shared" si="47"/>
        <v>1.5625</v>
      </c>
      <c r="AI136" s="19">
        <f t="shared" si="48"/>
        <v>9.9347122135725812</v>
      </c>
      <c r="AJ136" s="19">
        <f t="shared" si="49"/>
        <v>13.006463612999999</v>
      </c>
      <c r="AK136" s="19">
        <f t="shared" si="50"/>
        <v>8.7084283016371007</v>
      </c>
      <c r="AL136" s="19">
        <f t="shared" si="51"/>
        <v>11.435626125000001</v>
      </c>
      <c r="AM136" s="20">
        <f>AI136/Assumptions!$B$13</f>
        <v>0.15769384465988223</v>
      </c>
      <c r="AN136" s="20">
        <f>AK136/Assumptions!$B$13</f>
        <v>0.13822902066090637</v>
      </c>
      <c r="AO136" s="19">
        <f t="shared" si="52"/>
        <v>5.6505974810553008</v>
      </c>
      <c r="AP136" s="17">
        <f>H136*Assumptions!$B$16/1000000000000</f>
        <v>246.14383072998601</v>
      </c>
      <c r="AQ136" s="14">
        <f>AP136/Assumptions!$B$9</f>
        <v>61.535957682496502</v>
      </c>
      <c r="AR136" s="20">
        <f>AQ136/Assumptions!$B$11</f>
        <v>6.1535957682496499E-2</v>
      </c>
      <c r="AS136" s="14">
        <f t="shared" si="53"/>
        <v>82.197848411203665</v>
      </c>
      <c r="AT136" s="14">
        <f>Assumptions!$B$21*O136/100</f>
        <v>10.60448883235677</v>
      </c>
      <c r="AU136" s="14">
        <f>Assumptions!$B$21*P136/100</f>
        <v>14.116586419921873</v>
      </c>
      <c r="AV136" s="18">
        <f>H136/(K136*Assumptions!$B$9)</f>
        <v>1.7428332865780136</v>
      </c>
      <c r="AW136" s="18">
        <f t="shared" si="54"/>
        <v>7.7755331088664323E-2</v>
      </c>
    </row>
    <row r="137" spans="1:49" x14ac:dyDescent="0.2">
      <c r="A137" s="16">
        <v>1024</v>
      </c>
      <c r="B137" s="16">
        <v>2048</v>
      </c>
      <c r="C137" s="16">
        <v>5</v>
      </c>
      <c r="D137" s="16">
        <v>100</v>
      </c>
      <c r="E137" s="16">
        <v>142</v>
      </c>
      <c r="F137" s="17">
        <v>295.96415736072203</v>
      </c>
      <c r="G137" s="14">
        <v>50.368828857343502</v>
      </c>
      <c r="H137" s="17">
        <v>1504.30743020706</v>
      </c>
      <c r="I137" s="14">
        <v>95.6</v>
      </c>
      <c r="J137" s="16">
        <v>100</v>
      </c>
      <c r="K137" s="14">
        <v>268.89999999999998</v>
      </c>
      <c r="L137" s="14">
        <v>313.10000000000002</v>
      </c>
      <c r="M137" s="13">
        <v>87185</v>
      </c>
      <c r="N137" s="13">
        <v>87185</v>
      </c>
      <c r="O137" s="14">
        <v>17.985714285714302</v>
      </c>
      <c r="P137" s="14">
        <v>28.7</v>
      </c>
      <c r="Q137" s="18">
        <v>0.95568928571428602</v>
      </c>
      <c r="R137" s="18">
        <v>1</v>
      </c>
      <c r="S137" s="18">
        <v>0.40942857142857098</v>
      </c>
      <c r="T137" s="18">
        <v>0.57099999999999995</v>
      </c>
      <c r="U137" s="18">
        <v>3.32321428571428E-2</v>
      </c>
      <c r="V137" s="18">
        <v>5.5E-2</v>
      </c>
      <c r="W137" s="18">
        <v>0.13466071428571399</v>
      </c>
      <c r="X137" s="18">
        <v>0.23499999999999999</v>
      </c>
      <c r="Y137" s="18">
        <v>0.395389285714286</v>
      </c>
      <c r="Z137" s="18">
        <v>0.56499999999999995</v>
      </c>
      <c r="AA137" s="13">
        <v>10877560607.8179</v>
      </c>
      <c r="AB137" s="13">
        <v>22223756103</v>
      </c>
      <c r="AC137" s="13">
        <v>9539839530.91786</v>
      </c>
      <c r="AD137" s="13">
        <v>19456527200</v>
      </c>
      <c r="AE137" s="13">
        <f t="shared" si="44"/>
        <v>3072</v>
      </c>
      <c r="AF137" s="14">
        <f t="shared" si="45"/>
        <v>20</v>
      </c>
      <c r="AG137" s="14">
        <f t="shared" si="46"/>
        <v>122</v>
      </c>
      <c r="AH137" s="19">
        <f t="shared" si="47"/>
        <v>0.70422535211267601</v>
      </c>
      <c r="AI137" s="19">
        <f t="shared" si="48"/>
        <v>10.8775606078179</v>
      </c>
      <c r="AJ137" s="19">
        <f t="shared" si="49"/>
        <v>22.223756102999999</v>
      </c>
      <c r="AK137" s="19">
        <f t="shared" si="50"/>
        <v>9.5398395309178596</v>
      </c>
      <c r="AL137" s="19">
        <f t="shared" si="51"/>
        <v>19.4565272</v>
      </c>
      <c r="AM137" s="20">
        <f>AI137/Assumptions!$B$13</f>
        <v>0.1726596921875857</v>
      </c>
      <c r="AN137" s="20">
        <f>AK137/Assumptions!$B$13</f>
        <v>0.15142602430028348</v>
      </c>
      <c r="AO137" s="19">
        <f t="shared" si="52"/>
        <v>7.2309425516303287</v>
      </c>
      <c r="AP137" s="17">
        <f>H137*Assumptions!$B$16/1000000000000</f>
        <v>210.60304022898842</v>
      </c>
      <c r="AQ137" s="14">
        <f>AP137/Assumptions!$B$9</f>
        <v>52.650760057247105</v>
      </c>
      <c r="AR137" s="20">
        <f>AQ137/Assumptions!$B$11</f>
        <v>5.2650760057247108E-2</v>
      </c>
      <c r="AS137" s="14">
        <f t="shared" si="53"/>
        <v>75.770203500929611</v>
      </c>
      <c r="AT137" s="14">
        <f>Assumptions!$B$21*O137/100</f>
        <v>12.265550243396588</v>
      </c>
      <c r="AU137" s="14">
        <f>Assumptions!$B$21*P137/100</f>
        <v>19.572271992838537</v>
      </c>
      <c r="AV137" s="18">
        <f>H137/(K137*Assumptions!$B$9)</f>
        <v>1.3985751489466902</v>
      </c>
      <c r="AW137" s="18">
        <f t="shared" si="54"/>
        <v>8.1167131891137431E-2</v>
      </c>
    </row>
    <row r="138" spans="1:49" x14ac:dyDescent="0.2">
      <c r="A138" s="16">
        <v>1024</v>
      </c>
      <c r="B138" s="16">
        <v>2048</v>
      </c>
      <c r="C138" s="16">
        <v>10</v>
      </c>
      <c r="D138" s="16">
        <v>100</v>
      </c>
      <c r="E138" s="16">
        <v>132</v>
      </c>
      <c r="F138" s="17">
        <v>105.000449309009</v>
      </c>
      <c r="G138" s="14">
        <v>48.4485289308804</v>
      </c>
      <c r="H138" s="17">
        <v>1618.6487612968699</v>
      </c>
      <c r="I138" s="14">
        <v>95.2</v>
      </c>
      <c r="J138" s="16">
        <v>100</v>
      </c>
      <c r="K138" s="14">
        <v>267.2</v>
      </c>
      <c r="L138" s="14">
        <v>315.5</v>
      </c>
      <c r="M138" s="13">
        <v>87185</v>
      </c>
      <c r="N138" s="13">
        <v>87185</v>
      </c>
      <c r="O138" s="14">
        <v>19.161538461538498</v>
      </c>
      <c r="P138" s="14">
        <v>29.1</v>
      </c>
      <c r="Q138" s="18">
        <v>0.95467692307692298</v>
      </c>
      <c r="R138" s="18">
        <v>0.997</v>
      </c>
      <c r="S138" s="18">
        <v>0.41313846153846201</v>
      </c>
      <c r="T138" s="18">
        <v>0.56399999999999995</v>
      </c>
      <c r="U138" s="18">
        <v>3.1761538461538397E-2</v>
      </c>
      <c r="V138" s="18">
        <v>5.2999999999999999E-2</v>
      </c>
      <c r="W138" s="18">
        <v>0.12710769230769201</v>
      </c>
      <c r="X138" s="18">
        <v>0.2</v>
      </c>
      <c r="Y138" s="18">
        <v>0.41461923076923102</v>
      </c>
      <c r="Z138" s="18">
        <v>0.55700000000000005</v>
      </c>
      <c r="AA138" s="13">
        <v>9720132178.8461494</v>
      </c>
      <c r="AB138" s="13">
        <v>12916615410</v>
      </c>
      <c r="AC138" s="13">
        <v>8528089811.6653795</v>
      </c>
      <c r="AD138" s="13">
        <v>11531121537</v>
      </c>
      <c r="AE138" s="13">
        <f t="shared" si="44"/>
        <v>3072</v>
      </c>
      <c r="AF138" s="14">
        <f t="shared" si="45"/>
        <v>10</v>
      </c>
      <c r="AG138" s="14">
        <f t="shared" si="46"/>
        <v>122</v>
      </c>
      <c r="AH138" s="19">
        <f t="shared" si="47"/>
        <v>0.75757575757575757</v>
      </c>
      <c r="AI138" s="19">
        <f t="shared" si="48"/>
        <v>9.7201321788461499</v>
      </c>
      <c r="AJ138" s="19">
        <f t="shared" si="49"/>
        <v>12.91661541</v>
      </c>
      <c r="AK138" s="19">
        <f t="shared" si="50"/>
        <v>8.5280898116653798</v>
      </c>
      <c r="AL138" s="19">
        <f t="shared" si="51"/>
        <v>11.531121537000001</v>
      </c>
      <c r="AM138" s="20">
        <f>AI138/Assumptions!$B$13</f>
        <v>0.15428781236263731</v>
      </c>
      <c r="AN138" s="20">
        <f>AK138/Assumptions!$B$13</f>
        <v>0.13536650494706953</v>
      </c>
      <c r="AO138" s="19">
        <f t="shared" si="52"/>
        <v>6.0050904255833286</v>
      </c>
      <c r="AP138" s="17">
        <f>H138*Assumptions!$B$16/1000000000000</f>
        <v>226.61082658156178</v>
      </c>
      <c r="AQ138" s="14">
        <f>AP138/Assumptions!$B$9</f>
        <v>56.652706645390445</v>
      </c>
      <c r="AR138" s="20">
        <f>AQ138/Assumptions!$B$11</f>
        <v>5.6652706645390447E-2</v>
      </c>
      <c r="AS138" s="14">
        <f t="shared" si="53"/>
        <v>78.421151340625116</v>
      </c>
      <c r="AT138" s="14">
        <f>Assumptions!$B$21*O138/100</f>
        <v>13.067416117437924</v>
      </c>
      <c r="AU138" s="14">
        <f>Assumptions!$B$21*P138/100</f>
        <v>19.845056271484374</v>
      </c>
      <c r="AV138" s="18">
        <f>H138/(K138*Assumptions!$B$9)</f>
        <v>1.5144543051056043</v>
      </c>
      <c r="AW138" s="18">
        <f t="shared" si="54"/>
        <v>7.6878677292023287E-2</v>
      </c>
    </row>
    <row r="139" spans="1:49" x14ac:dyDescent="0.2">
      <c r="A139" s="16">
        <v>1024</v>
      </c>
      <c r="B139" s="16">
        <v>2048</v>
      </c>
      <c r="C139" s="16">
        <v>20</v>
      </c>
      <c r="D139" s="16">
        <v>100</v>
      </c>
      <c r="E139" s="16">
        <v>129</v>
      </c>
      <c r="F139" s="17">
        <v>107.988970083534</v>
      </c>
      <c r="G139" s="14">
        <v>48.711071835197302</v>
      </c>
      <c r="H139" s="17">
        <v>1661.1117601179801</v>
      </c>
      <c r="I139" s="14">
        <v>95.2</v>
      </c>
      <c r="J139" s="16">
        <v>100</v>
      </c>
      <c r="K139" s="14">
        <v>266.7</v>
      </c>
      <c r="L139" s="14">
        <v>316.39999999999998</v>
      </c>
      <c r="M139" s="13">
        <v>87185</v>
      </c>
      <c r="N139" s="13">
        <v>87185</v>
      </c>
      <c r="O139" s="14">
        <v>19.138461538461499</v>
      </c>
      <c r="P139" s="14">
        <v>29.3</v>
      </c>
      <c r="Q139" s="18">
        <v>0.95363281249999998</v>
      </c>
      <c r="R139" s="18">
        <v>1</v>
      </c>
      <c r="S139" s="18">
        <v>0.41023437499999998</v>
      </c>
      <c r="T139" s="18">
        <v>0.56599999999999995</v>
      </c>
      <c r="U139" s="18">
        <v>3.1386718750000001E-2</v>
      </c>
      <c r="V139" s="18">
        <v>5.2999999999999999E-2</v>
      </c>
      <c r="W139" s="18">
        <v>0.12795703124999999</v>
      </c>
      <c r="X139" s="18">
        <v>0.18</v>
      </c>
      <c r="Y139" s="18">
        <v>0.41366796875</v>
      </c>
      <c r="Z139" s="18">
        <v>0.55900000000000005</v>
      </c>
      <c r="AA139" s="13">
        <v>9794648365.5898399</v>
      </c>
      <c r="AB139" s="13">
        <v>12769285482</v>
      </c>
      <c r="AC139" s="13">
        <v>8591427459.6054707</v>
      </c>
      <c r="AD139" s="13">
        <v>11281053861</v>
      </c>
      <c r="AE139" s="13">
        <f t="shared" si="44"/>
        <v>3072</v>
      </c>
      <c r="AF139" s="14">
        <f t="shared" si="45"/>
        <v>5</v>
      </c>
      <c r="AG139" s="14">
        <f t="shared" si="46"/>
        <v>124</v>
      </c>
      <c r="AH139" s="19">
        <f t="shared" si="47"/>
        <v>0.77519379844961245</v>
      </c>
      <c r="AI139" s="19">
        <f t="shared" si="48"/>
        <v>9.7946483655898398</v>
      </c>
      <c r="AJ139" s="19">
        <f t="shared" si="49"/>
        <v>12.769285482000001</v>
      </c>
      <c r="AK139" s="19">
        <f t="shared" si="50"/>
        <v>8.5914274596054714</v>
      </c>
      <c r="AL139" s="19">
        <f t="shared" si="51"/>
        <v>11.281053861</v>
      </c>
      <c r="AM139" s="20">
        <f>AI139/Assumptions!$B$13</f>
        <v>0.1554706089776165</v>
      </c>
      <c r="AN139" s="20">
        <f>AK139/Assumptions!$B$13</f>
        <v>0.13637186443818208</v>
      </c>
      <c r="AO139" s="19">
        <f t="shared" si="52"/>
        <v>5.8964415283497704</v>
      </c>
      <c r="AP139" s="17">
        <f>H139*Assumptions!$B$16/1000000000000</f>
        <v>232.55564641651722</v>
      </c>
      <c r="AQ139" s="14">
        <f>AP139/Assumptions!$B$9</f>
        <v>58.138911604129305</v>
      </c>
      <c r="AR139" s="20">
        <f>AQ139/Assumptions!$B$11</f>
        <v>5.8138911604129304E-2</v>
      </c>
      <c r="AS139" s="14">
        <f t="shared" si="53"/>
        <v>80.914534273397962</v>
      </c>
      <c r="AT139" s="14">
        <f>Assumptions!$B$21*O139/100</f>
        <v>13.051678562900612</v>
      </c>
      <c r="AU139" s="14">
        <f>Assumptions!$B$21*P139/100</f>
        <v>19.981448410807289</v>
      </c>
      <c r="AV139" s="18">
        <f>H139/(K139*Assumptions!$B$9)</f>
        <v>1.5570976379058681</v>
      </c>
      <c r="AW139" s="18">
        <f t="shared" si="54"/>
        <v>7.6509236335936023E-2</v>
      </c>
    </row>
    <row r="140" spans="1:49" x14ac:dyDescent="0.2">
      <c r="A140" s="16">
        <v>1024</v>
      </c>
      <c r="B140" s="16">
        <v>2048</v>
      </c>
      <c r="C140" s="16">
        <v>50</v>
      </c>
      <c r="D140" s="16">
        <v>100</v>
      </c>
      <c r="E140" s="16">
        <v>127</v>
      </c>
      <c r="F140" s="17">
        <v>117.84341515041901</v>
      </c>
      <c r="G140" s="14">
        <v>48.787644867279703</v>
      </c>
      <c r="H140" s="17">
        <v>1682.7095709364901</v>
      </c>
      <c r="I140" s="14">
        <v>95.2</v>
      </c>
      <c r="J140" s="16">
        <v>100</v>
      </c>
      <c r="K140" s="14">
        <v>266.39999999999998</v>
      </c>
      <c r="L140" s="14">
        <v>320.2</v>
      </c>
      <c r="M140" s="13">
        <v>87185</v>
      </c>
      <c r="N140" s="13">
        <v>87185</v>
      </c>
      <c r="O140" s="14">
        <v>21.066666666666698</v>
      </c>
      <c r="P140" s="14">
        <v>29.7</v>
      </c>
      <c r="Q140" s="18">
        <v>0.95215079365079403</v>
      </c>
      <c r="R140" s="18">
        <v>1</v>
      </c>
      <c r="S140" s="18">
        <v>0.408210317460317</v>
      </c>
      <c r="T140" s="18">
        <v>0.56100000000000005</v>
      </c>
      <c r="U140" s="18">
        <v>3.1202380952380902E-2</v>
      </c>
      <c r="V140" s="18">
        <v>5.1999999999999998E-2</v>
      </c>
      <c r="W140" s="18">
        <v>0.12751984126984101</v>
      </c>
      <c r="X140" s="18">
        <v>0.193</v>
      </c>
      <c r="Y140" s="18">
        <v>0.41317063492063499</v>
      </c>
      <c r="Z140" s="18">
        <v>0.55400000000000005</v>
      </c>
      <c r="AA140" s="13">
        <v>9824560001.9365101</v>
      </c>
      <c r="AB140" s="13">
        <v>12773718050</v>
      </c>
      <c r="AC140" s="13">
        <v>8613537920.8174591</v>
      </c>
      <c r="AD140" s="13">
        <v>11282725787</v>
      </c>
      <c r="AE140" s="13">
        <f t="shared" si="44"/>
        <v>3072</v>
      </c>
      <c r="AF140" s="14">
        <f t="shared" si="45"/>
        <v>2</v>
      </c>
      <c r="AG140" s="14">
        <f t="shared" si="46"/>
        <v>125</v>
      </c>
      <c r="AH140" s="19">
        <f t="shared" si="47"/>
        <v>0.78740157480314965</v>
      </c>
      <c r="AI140" s="19">
        <f t="shared" si="48"/>
        <v>9.8245600019365096</v>
      </c>
      <c r="AJ140" s="19">
        <f t="shared" si="49"/>
        <v>12.773718049999999</v>
      </c>
      <c r="AK140" s="19">
        <f t="shared" si="50"/>
        <v>8.6135379208174587</v>
      </c>
      <c r="AL140" s="19">
        <f t="shared" si="51"/>
        <v>11.282725787</v>
      </c>
      <c r="AM140" s="20">
        <f>AI140/Assumptions!$B$13</f>
        <v>0.15594539685613507</v>
      </c>
      <c r="AN140" s="20">
        <f>AK140/Assumptions!$B$13</f>
        <v>0.13672282413995968</v>
      </c>
      <c r="AO140" s="19">
        <f t="shared" si="52"/>
        <v>5.8385357590072893</v>
      </c>
      <c r="AP140" s="17">
        <f>H140*Assumptions!$B$16/1000000000000</f>
        <v>235.57933993110862</v>
      </c>
      <c r="AQ140" s="14">
        <f>AP140/Assumptions!$B$9</f>
        <v>58.894834982777155</v>
      </c>
      <c r="AR140" s="20">
        <f>AQ140/Assumptions!$B$11</f>
        <v>5.8894834982777158E-2</v>
      </c>
      <c r="AS140" s="14">
        <f t="shared" si="53"/>
        <v>82.095436961622084</v>
      </c>
      <c r="AT140" s="14">
        <f>Assumptions!$B$21*O140/100</f>
        <v>14.366638675347241</v>
      </c>
      <c r="AU140" s="14">
        <f>Assumptions!$B$21*P140/100</f>
        <v>20.254232689453122</v>
      </c>
      <c r="AV140" s="18">
        <f>H140/(K140*Assumptions!$B$9)</f>
        <v>1.5791193420950547</v>
      </c>
      <c r="AW140" s="18">
        <f t="shared" si="54"/>
        <v>7.6437021843315245E-2</v>
      </c>
    </row>
    <row r="141" spans="1:49" x14ac:dyDescent="0.2">
      <c r="A141" s="16">
        <v>1024</v>
      </c>
      <c r="B141" s="16">
        <v>2048</v>
      </c>
      <c r="C141" s="16">
        <v>100</v>
      </c>
      <c r="D141" s="16">
        <v>100</v>
      </c>
      <c r="E141" s="16">
        <v>127</v>
      </c>
      <c r="F141" s="17">
        <v>125.01256839896099</v>
      </c>
      <c r="G141" s="14">
        <v>48.829501843708101</v>
      </c>
      <c r="H141" s="17">
        <v>1689.1816577529401</v>
      </c>
      <c r="I141" s="14">
        <v>95.2</v>
      </c>
      <c r="J141" s="16">
        <v>100</v>
      </c>
      <c r="K141" s="14">
        <v>266.5</v>
      </c>
      <c r="L141" s="14">
        <v>311</v>
      </c>
      <c r="M141" s="13">
        <v>87185</v>
      </c>
      <c r="N141" s="13">
        <v>87185</v>
      </c>
      <c r="O141" s="14">
        <v>19.0846153846154</v>
      </c>
      <c r="P141" s="14">
        <v>29.6</v>
      </c>
      <c r="Q141" s="18">
        <v>0.95404761904761903</v>
      </c>
      <c r="R141" s="18">
        <v>0.997</v>
      </c>
      <c r="S141" s="18">
        <v>0.40869047619047599</v>
      </c>
      <c r="T141" s="18">
        <v>0.56200000000000006</v>
      </c>
      <c r="U141" s="18">
        <v>3.125E-2</v>
      </c>
      <c r="V141" s="18">
        <v>5.2999999999999999E-2</v>
      </c>
      <c r="W141" s="18">
        <v>0.12690476190476199</v>
      </c>
      <c r="X141" s="18">
        <v>0.17499999999999999</v>
      </c>
      <c r="Y141" s="18">
        <v>0.414404761904762</v>
      </c>
      <c r="Z141" s="18">
        <v>0.57699999999999996</v>
      </c>
      <c r="AA141" s="13">
        <v>9812162000.4246006</v>
      </c>
      <c r="AB141" s="13">
        <v>12689061631</v>
      </c>
      <c r="AC141" s="13">
        <v>8603164802.9087296</v>
      </c>
      <c r="AD141" s="13">
        <v>11203910830</v>
      </c>
      <c r="AE141" s="13">
        <f t="shared" si="44"/>
        <v>3072</v>
      </c>
      <c r="AF141" s="14">
        <f t="shared" si="45"/>
        <v>1</v>
      </c>
      <c r="AG141" s="14">
        <f t="shared" si="46"/>
        <v>126</v>
      </c>
      <c r="AH141" s="19">
        <f t="shared" si="47"/>
        <v>0.78740157480314965</v>
      </c>
      <c r="AI141" s="19">
        <f t="shared" si="48"/>
        <v>9.8121620004245997</v>
      </c>
      <c r="AJ141" s="19">
        <f t="shared" si="49"/>
        <v>12.689061631</v>
      </c>
      <c r="AK141" s="19">
        <f t="shared" si="50"/>
        <v>8.6031648029087293</v>
      </c>
      <c r="AL141" s="19">
        <f t="shared" si="51"/>
        <v>11.20391083</v>
      </c>
      <c r="AM141" s="20">
        <f>AI141/Assumptions!$B$13</f>
        <v>0.15574860318134284</v>
      </c>
      <c r="AN141" s="20">
        <f>AK141/Assumptions!$B$13</f>
        <v>0.13655817147474172</v>
      </c>
      <c r="AO141" s="19">
        <f t="shared" si="52"/>
        <v>5.8088258035416862</v>
      </c>
      <c r="AP141" s="17">
        <f>H141*Assumptions!$B$16/1000000000000</f>
        <v>236.48543208541159</v>
      </c>
      <c r="AQ141" s="14">
        <f>AP141/Assumptions!$B$9</f>
        <v>59.121358021352897</v>
      </c>
      <c r="AR141" s="20">
        <f>AQ141/Assumptions!$B$11</f>
        <v>5.9121358021352897E-2</v>
      </c>
      <c r="AS141" s="14">
        <f t="shared" si="53"/>
        <v>82.481898871605097</v>
      </c>
      <c r="AT141" s="14">
        <f>Assumptions!$B$21*O141/100</f>
        <v>13.014957602313711</v>
      </c>
      <c r="AU141" s="14">
        <f>Assumptions!$B$21*P141/100</f>
        <v>20.186036619791665</v>
      </c>
      <c r="AV141" s="18">
        <f>H141/(K141*Assumptions!$B$9)</f>
        <v>1.5845981780046341</v>
      </c>
      <c r="AW141" s="18">
        <f t="shared" si="54"/>
        <v>7.6463734343140147E-2</v>
      </c>
    </row>
    <row r="142" spans="1:49" x14ac:dyDescent="0.2">
      <c r="A142" s="16">
        <v>1024</v>
      </c>
      <c r="B142" s="16">
        <v>5120</v>
      </c>
      <c r="C142" s="16">
        <v>5</v>
      </c>
      <c r="D142" s="16">
        <v>100</v>
      </c>
      <c r="E142" s="16">
        <v>361</v>
      </c>
      <c r="F142" s="17">
        <v>102.065818164265</v>
      </c>
      <c r="G142" s="14">
        <v>55.360792331112897</v>
      </c>
      <c r="H142" s="17">
        <v>1437.3368290702399</v>
      </c>
      <c r="I142" s="14">
        <v>97.9</v>
      </c>
      <c r="J142" s="16">
        <v>100</v>
      </c>
      <c r="K142" s="14">
        <v>289</v>
      </c>
      <c r="L142" s="14">
        <v>330.2</v>
      </c>
      <c r="M142" s="13">
        <v>87185</v>
      </c>
      <c r="N142" s="13">
        <v>87185</v>
      </c>
      <c r="O142" s="14">
        <v>35.036111111111097</v>
      </c>
      <c r="P142" s="14">
        <v>54.9</v>
      </c>
      <c r="Q142" s="18">
        <v>0.97991388888888897</v>
      </c>
      <c r="R142" s="18">
        <v>0.997</v>
      </c>
      <c r="S142" s="18">
        <v>0.48701250000000001</v>
      </c>
      <c r="T142" s="18">
        <v>0.59699999999999998</v>
      </c>
      <c r="U142" s="18">
        <v>3.5826388888888797E-2</v>
      </c>
      <c r="V142" s="18">
        <v>5.5E-2</v>
      </c>
      <c r="W142" s="18">
        <v>0.138883333333333</v>
      </c>
      <c r="X142" s="18">
        <v>0.18099999999999999</v>
      </c>
      <c r="Y142" s="18">
        <v>0.49036111111111103</v>
      </c>
      <c r="Z142" s="18">
        <v>0.59699999999999998</v>
      </c>
      <c r="AA142" s="13">
        <v>8743136196.9319401</v>
      </c>
      <c r="AB142" s="13">
        <v>13809041672</v>
      </c>
      <c r="AC142" s="13">
        <v>7671374372.8472204</v>
      </c>
      <c r="AD142" s="13">
        <v>12213288963</v>
      </c>
      <c r="AE142" s="13">
        <f t="shared" si="44"/>
        <v>6144</v>
      </c>
      <c r="AF142" s="14">
        <f t="shared" si="45"/>
        <v>20</v>
      </c>
      <c r="AG142" s="14">
        <f t="shared" si="46"/>
        <v>341</v>
      </c>
      <c r="AH142" s="19">
        <f t="shared" si="47"/>
        <v>0.2770083102493075</v>
      </c>
      <c r="AI142" s="19">
        <f t="shared" si="48"/>
        <v>8.7431361969319408</v>
      </c>
      <c r="AJ142" s="19">
        <f t="shared" si="49"/>
        <v>13.809041671999999</v>
      </c>
      <c r="AK142" s="19">
        <f t="shared" si="50"/>
        <v>7.6713743728472208</v>
      </c>
      <c r="AL142" s="19">
        <f t="shared" si="51"/>
        <v>12.213288963</v>
      </c>
      <c r="AM142" s="20">
        <f>AI142/Assumptions!$B$13</f>
        <v>0.13877993963384033</v>
      </c>
      <c r="AN142" s="20">
        <f>AK142/Assumptions!$B$13</f>
        <v>0.12176784718805113</v>
      </c>
      <c r="AO142" s="19">
        <f t="shared" si="52"/>
        <v>6.0828721703231885</v>
      </c>
      <c r="AP142" s="17">
        <f>H142*Assumptions!$B$16/1000000000000</f>
        <v>201.2271560698336</v>
      </c>
      <c r="AQ142" s="14">
        <f>AP142/Assumptions!$B$9</f>
        <v>50.306789017458399</v>
      </c>
      <c r="AR142" s="20">
        <f>AQ142/Assumptions!$B$11</f>
        <v>5.03067890174584E-2</v>
      </c>
      <c r="AS142" s="14">
        <f t="shared" si="53"/>
        <v>79.572105704017872</v>
      </c>
      <c r="AT142" s="14">
        <f>Assumptions!$B$21*O142/100</f>
        <v>23.89325073999926</v>
      </c>
      <c r="AU142" s="14">
        <f>Assumptions!$B$21*P142/100</f>
        <v>37.439642244140622</v>
      </c>
      <c r="AV142" s="18">
        <f>H142/(K142*Assumptions!$B$9)</f>
        <v>1.2433709594033218</v>
      </c>
      <c r="AW142" s="18">
        <f t="shared" si="54"/>
        <v>7.3563592082110413E-2</v>
      </c>
    </row>
    <row r="143" spans="1:49" x14ac:dyDescent="0.2">
      <c r="A143" s="16">
        <v>1024</v>
      </c>
      <c r="B143" s="16">
        <v>5120</v>
      </c>
      <c r="C143" s="16">
        <v>10</v>
      </c>
      <c r="D143" s="16">
        <v>100</v>
      </c>
      <c r="E143" s="16">
        <v>356</v>
      </c>
      <c r="F143" s="17">
        <v>103.66004973067901</v>
      </c>
      <c r="G143" s="14">
        <v>55.5963937767131</v>
      </c>
      <c r="H143" s="17">
        <v>1461.49232356177</v>
      </c>
      <c r="I143" s="14">
        <v>97.6</v>
      </c>
      <c r="J143" s="16">
        <v>100</v>
      </c>
      <c r="K143" s="14">
        <v>289.3</v>
      </c>
      <c r="L143" s="14">
        <v>331.4</v>
      </c>
      <c r="M143" s="13">
        <v>87185</v>
      </c>
      <c r="N143" s="13">
        <v>87185</v>
      </c>
      <c r="O143" s="14">
        <v>35.072222222222202</v>
      </c>
      <c r="P143" s="14">
        <v>55.3</v>
      </c>
      <c r="Q143" s="18">
        <v>0.97656320224719095</v>
      </c>
      <c r="R143" s="18">
        <v>0.997</v>
      </c>
      <c r="S143" s="18">
        <v>0.48226264044943801</v>
      </c>
      <c r="T143" s="18">
        <v>0.59699999999999998</v>
      </c>
      <c r="U143" s="18">
        <v>3.5379746835443003E-2</v>
      </c>
      <c r="V143" s="18">
        <v>5.5E-2</v>
      </c>
      <c r="W143" s="18">
        <v>0.13902106741573</v>
      </c>
      <c r="X143" s="18">
        <v>0.19800000000000001</v>
      </c>
      <c r="Y143" s="18">
        <v>0.488066104078762</v>
      </c>
      <c r="Z143" s="18">
        <v>0.59799999999999998</v>
      </c>
      <c r="AA143" s="13">
        <v>8776941890.594101</v>
      </c>
      <c r="AB143" s="13">
        <v>12827084744</v>
      </c>
      <c r="AC143" s="13">
        <v>7698623326.875</v>
      </c>
      <c r="AD143" s="13">
        <v>11371398642</v>
      </c>
      <c r="AE143" s="13">
        <f t="shared" si="44"/>
        <v>6144</v>
      </c>
      <c r="AF143" s="14">
        <f t="shared" si="45"/>
        <v>10</v>
      </c>
      <c r="AG143" s="14">
        <f t="shared" si="46"/>
        <v>346</v>
      </c>
      <c r="AH143" s="19">
        <f t="shared" si="47"/>
        <v>0.2808988764044944</v>
      </c>
      <c r="AI143" s="19">
        <f t="shared" si="48"/>
        <v>8.7769418905941006</v>
      </c>
      <c r="AJ143" s="19">
        <f t="shared" si="49"/>
        <v>12.827084744</v>
      </c>
      <c r="AK143" s="19">
        <f t="shared" si="50"/>
        <v>7.6986233268750004</v>
      </c>
      <c r="AL143" s="19">
        <f t="shared" si="51"/>
        <v>11.371398642000001</v>
      </c>
      <c r="AM143" s="20">
        <f>AI143/Assumptions!$B$13</f>
        <v>0.1393165379459381</v>
      </c>
      <c r="AN143" s="20">
        <f>AK143/Assumptions!$B$13</f>
        <v>0.12220037026785716</v>
      </c>
      <c r="AO143" s="19">
        <f t="shared" si="52"/>
        <v>6.0054656114812932</v>
      </c>
      <c r="AP143" s="17">
        <f>H143*Assumptions!$B$16/1000000000000</f>
        <v>204.60892529864782</v>
      </c>
      <c r="AQ143" s="14">
        <f>AP143/Assumptions!$B$9</f>
        <v>51.152231324661955</v>
      </c>
      <c r="AR143" s="20">
        <f>AQ143/Assumptions!$B$11</f>
        <v>5.1152231324661956E-2</v>
      </c>
      <c r="AS143" s="14">
        <f t="shared" si="53"/>
        <v>81.253702722383565</v>
      </c>
      <c r="AT143" s="14">
        <f>Assumptions!$B$21*O143/100</f>
        <v>23.91787709848812</v>
      </c>
      <c r="AU143" s="14">
        <f>Assumptions!$B$21*P143/100</f>
        <v>37.712426522786451</v>
      </c>
      <c r="AV143" s="18">
        <f>H143/(K143*Assumptions!$B$9)</f>
        <v>1.262955689216877</v>
      </c>
      <c r="AW143" s="18">
        <f t="shared" si="54"/>
        <v>7.3361989646287623E-2</v>
      </c>
    </row>
    <row r="144" spans="1:49" x14ac:dyDescent="0.2">
      <c r="A144" s="16">
        <v>1024</v>
      </c>
      <c r="B144" s="16">
        <v>5120</v>
      </c>
      <c r="C144" s="16">
        <v>20</v>
      </c>
      <c r="D144" s="16">
        <v>100</v>
      </c>
      <c r="E144" s="16">
        <v>354</v>
      </c>
      <c r="F144" s="17">
        <v>107.423146792571</v>
      </c>
      <c r="G144" s="14">
        <v>55.675938156146103</v>
      </c>
      <c r="H144" s="17">
        <v>1472.03621757102</v>
      </c>
      <c r="I144" s="14">
        <v>97.6</v>
      </c>
      <c r="J144" s="16">
        <v>100</v>
      </c>
      <c r="K144" s="14">
        <v>288.89999999999998</v>
      </c>
      <c r="L144" s="14">
        <v>330.1</v>
      </c>
      <c r="M144" s="13">
        <v>87185</v>
      </c>
      <c r="N144" s="13">
        <v>87185</v>
      </c>
      <c r="O144" s="14">
        <v>36.151428571428603</v>
      </c>
      <c r="P144" s="14">
        <v>56.4</v>
      </c>
      <c r="Q144" s="18">
        <v>0.97786647727272702</v>
      </c>
      <c r="R144" s="18">
        <v>1</v>
      </c>
      <c r="S144" s="18">
        <v>0.48352272727272699</v>
      </c>
      <c r="T144" s="18">
        <v>0.59499999999999997</v>
      </c>
      <c r="U144" s="18">
        <v>3.5316761363636297E-2</v>
      </c>
      <c r="V144" s="18">
        <v>5.5E-2</v>
      </c>
      <c r="W144" s="18">
        <v>0.13940625000000001</v>
      </c>
      <c r="X144" s="18">
        <v>0.20100000000000001</v>
      </c>
      <c r="Y144" s="18">
        <v>0.48899715909090902</v>
      </c>
      <c r="Z144" s="18">
        <v>0.59099999999999997</v>
      </c>
      <c r="AA144" s="13">
        <v>8792560080.6463108</v>
      </c>
      <c r="AB144" s="13">
        <v>12048676975</v>
      </c>
      <c r="AC144" s="13">
        <v>7711845217.4588099</v>
      </c>
      <c r="AD144" s="13">
        <v>10547371352</v>
      </c>
      <c r="AE144" s="13">
        <f t="shared" si="44"/>
        <v>6144</v>
      </c>
      <c r="AF144" s="14">
        <f t="shared" si="45"/>
        <v>5</v>
      </c>
      <c r="AG144" s="14">
        <f t="shared" si="46"/>
        <v>349</v>
      </c>
      <c r="AH144" s="19">
        <f t="shared" si="47"/>
        <v>0.2824858757062147</v>
      </c>
      <c r="AI144" s="19">
        <f t="shared" si="48"/>
        <v>8.7925600806463109</v>
      </c>
      <c r="AJ144" s="19">
        <f t="shared" si="49"/>
        <v>12.048676974999999</v>
      </c>
      <c r="AK144" s="19">
        <f t="shared" si="50"/>
        <v>7.7118452174588095</v>
      </c>
      <c r="AL144" s="19">
        <f t="shared" si="51"/>
        <v>10.547371352000001</v>
      </c>
      <c r="AM144" s="20">
        <f>AI144/Assumptions!$B$13</f>
        <v>0.13956444572454463</v>
      </c>
      <c r="AN144" s="20">
        <f>AK144/Assumptions!$B$13</f>
        <v>0.12241024154696523</v>
      </c>
      <c r="AO144" s="19">
        <f t="shared" si="52"/>
        <v>5.9730596134073073</v>
      </c>
      <c r="AP144" s="17">
        <f>H144*Assumptions!$B$16/1000000000000</f>
        <v>206.08507045994278</v>
      </c>
      <c r="AQ144" s="14">
        <f>AP144/Assumptions!$B$9</f>
        <v>51.521267614985696</v>
      </c>
      <c r="AR144" s="20">
        <f>AQ144/Assumptions!$B$11</f>
        <v>5.1521267614985697E-2</v>
      </c>
      <c r="AS144" s="14">
        <f t="shared" si="53"/>
        <v>81.956997413091329</v>
      </c>
      <c r="AT144" s="14">
        <f>Assumptions!$B$21*O144/100</f>
        <v>24.6538534121838</v>
      </c>
      <c r="AU144" s="14">
        <f>Assumptions!$B$21*P144/100</f>
        <v>38.462583289062493</v>
      </c>
      <c r="AV144" s="18">
        <f>H144/(K144*Assumptions!$B$9)</f>
        <v>1.2738285025709761</v>
      </c>
      <c r="AW144" s="18">
        <f t="shared" si="54"/>
        <v>7.3040540540540447E-2</v>
      </c>
    </row>
    <row r="145" spans="1:49" x14ac:dyDescent="0.2">
      <c r="A145" s="16">
        <v>1024</v>
      </c>
      <c r="B145" s="16">
        <v>5120</v>
      </c>
      <c r="C145" s="16">
        <v>50</v>
      </c>
      <c r="D145" s="16">
        <v>100</v>
      </c>
      <c r="E145" s="16">
        <v>352</v>
      </c>
      <c r="F145" s="17">
        <v>116.264343460207</v>
      </c>
      <c r="G145" s="14">
        <v>55.740047554570197</v>
      </c>
      <c r="H145" s="17">
        <v>1477.78167101861</v>
      </c>
      <c r="I145" s="14">
        <v>97.6</v>
      </c>
      <c r="J145" s="16">
        <v>100</v>
      </c>
      <c r="K145" s="14">
        <v>288.8</v>
      </c>
      <c r="L145" s="14">
        <v>330</v>
      </c>
      <c r="M145" s="13">
        <v>87185</v>
      </c>
      <c r="N145" s="13">
        <v>87185</v>
      </c>
      <c r="O145" s="14">
        <v>37.220588235294102</v>
      </c>
      <c r="P145" s="14">
        <v>56</v>
      </c>
      <c r="Q145" s="18">
        <v>0.97660227272727296</v>
      </c>
      <c r="R145" s="18">
        <v>0.997</v>
      </c>
      <c r="S145" s="18">
        <v>0.482133522727273</v>
      </c>
      <c r="T145" s="18">
        <v>0.59299999999999997</v>
      </c>
      <c r="U145" s="18">
        <v>3.5184659090909003E-2</v>
      </c>
      <c r="V145" s="18">
        <v>5.5E-2</v>
      </c>
      <c r="W145" s="18">
        <v>0.13864346590909099</v>
      </c>
      <c r="X145" s="18">
        <v>0.17199999999999999</v>
      </c>
      <c r="Y145" s="18">
        <v>0.48703693181818197</v>
      </c>
      <c r="Z145" s="18">
        <v>0.59299999999999997</v>
      </c>
      <c r="AA145" s="13">
        <v>8768303649.3338108</v>
      </c>
      <c r="AB145" s="13">
        <v>12440906290</v>
      </c>
      <c r="AC145" s="13">
        <v>7688891113.6803999</v>
      </c>
      <c r="AD145" s="13">
        <v>10890451948</v>
      </c>
      <c r="AE145" s="13">
        <f t="shared" si="44"/>
        <v>6144</v>
      </c>
      <c r="AF145" s="14">
        <f t="shared" si="45"/>
        <v>2</v>
      </c>
      <c r="AG145" s="14">
        <f t="shared" si="46"/>
        <v>350</v>
      </c>
      <c r="AH145" s="19">
        <f t="shared" si="47"/>
        <v>0.28409090909090912</v>
      </c>
      <c r="AI145" s="19">
        <f t="shared" si="48"/>
        <v>8.7683036493338111</v>
      </c>
      <c r="AJ145" s="19">
        <f t="shared" si="49"/>
        <v>12.440906289999999</v>
      </c>
      <c r="AK145" s="19">
        <f t="shared" si="50"/>
        <v>7.6888911136804001</v>
      </c>
      <c r="AL145" s="19">
        <f t="shared" si="51"/>
        <v>10.890451948000001</v>
      </c>
      <c r="AM145" s="20">
        <f>AI145/Assumptions!$B$13</f>
        <v>0.13917942300529859</v>
      </c>
      <c r="AN145" s="20">
        <f>AK145/Assumptions!$B$13</f>
        <v>0.12204589069333968</v>
      </c>
      <c r="AO145" s="19">
        <f t="shared" si="52"/>
        <v>5.9334229279552275</v>
      </c>
      <c r="AP145" s="17">
        <f>H145*Assumptions!$B$16/1000000000000</f>
        <v>206.88943394260539</v>
      </c>
      <c r="AQ145" s="14">
        <f>AP145/Assumptions!$B$9</f>
        <v>51.722358485651348</v>
      </c>
      <c r="AR145" s="20">
        <f>AQ145/Assumptions!$B$11</f>
        <v>5.1722358485651349E-2</v>
      </c>
      <c r="AS145" s="14">
        <f t="shared" si="53"/>
        <v>82.37162061784953</v>
      </c>
      <c r="AT145" s="14">
        <f>Assumptions!$B$21*O145/100</f>
        <v>25.382978281345729</v>
      </c>
      <c r="AU145" s="14">
        <f>Assumptions!$B$21*P145/100</f>
        <v>38.189799010416664</v>
      </c>
      <c r="AV145" s="18">
        <f>H145/(K145*Assumptions!$B$9)</f>
        <v>1.2792431362695724</v>
      </c>
      <c r="AW145" s="18">
        <f t="shared" si="54"/>
        <v>7.2977002080006376E-2</v>
      </c>
    </row>
    <row r="146" spans="1:49" x14ac:dyDescent="0.2">
      <c r="A146" s="16">
        <v>1024</v>
      </c>
      <c r="B146" s="16">
        <v>5120</v>
      </c>
      <c r="C146" s="16">
        <v>100</v>
      </c>
      <c r="D146" s="16">
        <v>100</v>
      </c>
      <c r="E146" s="16">
        <v>424</v>
      </c>
      <c r="F146" s="17">
        <v>123.697768427082</v>
      </c>
      <c r="G146" s="14">
        <v>55.764962223110402</v>
      </c>
      <c r="H146" s="17">
        <v>1479.31071161622</v>
      </c>
      <c r="I146" s="14">
        <v>81</v>
      </c>
      <c r="J146" s="16">
        <v>100</v>
      </c>
      <c r="K146" s="14">
        <v>255.1</v>
      </c>
      <c r="L146" s="14">
        <v>330.1</v>
      </c>
      <c r="M146" s="13">
        <v>87185</v>
      </c>
      <c r="N146" s="13">
        <v>87185</v>
      </c>
      <c r="O146" s="14">
        <v>35.125</v>
      </c>
      <c r="P146" s="14">
        <v>55.6</v>
      </c>
      <c r="Q146" s="18">
        <v>0.81022405660377395</v>
      </c>
      <c r="R146" s="18">
        <v>1</v>
      </c>
      <c r="S146" s="18">
        <v>0.39958254716981101</v>
      </c>
      <c r="T146" s="18">
        <v>0.59199999999999997</v>
      </c>
      <c r="U146" s="18">
        <v>2.9192216981131999E-2</v>
      </c>
      <c r="V146" s="18">
        <v>5.5E-2</v>
      </c>
      <c r="W146" s="18">
        <v>0.114922169811321</v>
      </c>
      <c r="X146" s="18">
        <v>0.17</v>
      </c>
      <c r="Y146" s="18">
        <v>0.40452004716981099</v>
      </c>
      <c r="Z146" s="18">
        <v>0.61099999999999999</v>
      </c>
      <c r="AA146" s="13">
        <v>7274200258.7712297</v>
      </c>
      <c r="AB146" s="13">
        <v>11944104072</v>
      </c>
      <c r="AC146" s="13">
        <v>6378419780.77948</v>
      </c>
      <c r="AD146" s="13">
        <v>10455924505</v>
      </c>
      <c r="AE146" s="13">
        <f t="shared" si="44"/>
        <v>6144</v>
      </c>
      <c r="AF146" s="14">
        <f t="shared" si="45"/>
        <v>1</v>
      </c>
      <c r="AG146" s="14">
        <f t="shared" si="46"/>
        <v>423</v>
      </c>
      <c r="AH146" s="19">
        <f t="shared" si="47"/>
        <v>0.23584905660377359</v>
      </c>
      <c r="AI146" s="19">
        <f t="shared" si="48"/>
        <v>7.2742002587712298</v>
      </c>
      <c r="AJ146" s="19">
        <f t="shared" si="49"/>
        <v>11.944104072</v>
      </c>
      <c r="AK146" s="19">
        <f t="shared" si="50"/>
        <v>6.3784197807794802</v>
      </c>
      <c r="AL146" s="19">
        <f t="shared" si="51"/>
        <v>10.455924505</v>
      </c>
      <c r="AM146" s="20">
        <f>AI146/Assumptions!$B$13</f>
        <v>0.1154634961709719</v>
      </c>
      <c r="AN146" s="20">
        <f>AK146/Assumptions!$B$13</f>
        <v>0.10124475842507112</v>
      </c>
      <c r="AO146" s="19">
        <f t="shared" si="52"/>
        <v>4.9172903309973375</v>
      </c>
      <c r="AP146" s="17">
        <f>H146*Assumptions!$B$16/1000000000000</f>
        <v>207.1034996262708</v>
      </c>
      <c r="AQ146" s="14">
        <f>AP146/Assumptions!$B$9</f>
        <v>51.775874906567701</v>
      </c>
      <c r="AR146" s="20">
        <f>AQ146/Assumptions!$B$11</f>
        <v>5.1775874906567702E-2</v>
      </c>
      <c r="AS146" s="14">
        <f t="shared" si="53"/>
        <v>82.493705949521072</v>
      </c>
      <c r="AT146" s="14">
        <f>Assumptions!$B$21*O146/100</f>
        <v>23.953869468587236</v>
      </c>
      <c r="AU146" s="14">
        <f>Assumptions!$B$21*P146/100</f>
        <v>37.917014731770827</v>
      </c>
      <c r="AV146" s="18">
        <f>H146/(K146*Assumptions!$B$9)</f>
        <v>1.4497360952726579</v>
      </c>
      <c r="AW146" s="18">
        <f t="shared" si="54"/>
        <v>7.3056786858926928E-2</v>
      </c>
    </row>
    <row r="147" spans="1:49" x14ac:dyDescent="0.2">
      <c r="A147" s="16">
        <v>1024</v>
      </c>
      <c r="B147" s="16">
        <v>10240</v>
      </c>
      <c r="C147" s="16">
        <v>5</v>
      </c>
      <c r="D147" s="16">
        <v>100</v>
      </c>
      <c r="E147" s="16">
        <v>859</v>
      </c>
      <c r="F147" s="17">
        <v>420.82099280494702</v>
      </c>
      <c r="G147" s="14">
        <v>68.149770265702799</v>
      </c>
      <c r="H147" s="17">
        <v>1195.38870233032</v>
      </c>
      <c r="I147" s="14">
        <v>99</v>
      </c>
      <c r="J147" s="16">
        <v>100</v>
      </c>
      <c r="K147" s="14">
        <v>310.3</v>
      </c>
      <c r="L147" s="14">
        <v>358.7</v>
      </c>
      <c r="M147" s="13">
        <v>87671</v>
      </c>
      <c r="N147" s="13">
        <v>87671</v>
      </c>
      <c r="O147" s="14">
        <v>63.345348837209301</v>
      </c>
      <c r="P147" s="14">
        <v>99.6</v>
      </c>
      <c r="Q147" s="18">
        <v>0.98980069930069903</v>
      </c>
      <c r="R147" s="18">
        <v>1</v>
      </c>
      <c r="S147" s="18">
        <v>0.56244755244755196</v>
      </c>
      <c r="T147" s="18">
        <v>0.68</v>
      </c>
      <c r="U147" s="18">
        <v>3.9824009324009299E-2</v>
      </c>
      <c r="V147" s="18">
        <v>5.5E-2</v>
      </c>
      <c r="W147" s="18">
        <v>0.15267540792540801</v>
      </c>
      <c r="X147" s="18">
        <v>0.24399999999999999</v>
      </c>
      <c r="Y147" s="18">
        <v>0.56339976689976701</v>
      </c>
      <c r="Z147" s="18">
        <v>0.69399999999999995</v>
      </c>
      <c r="AA147" s="13">
        <v>7635655830.5099096</v>
      </c>
      <c r="AB147" s="13">
        <v>26610549407</v>
      </c>
      <c r="AC147" s="13">
        <v>6694825851.4592104</v>
      </c>
      <c r="AD147" s="13">
        <v>23303594307</v>
      </c>
      <c r="AE147" s="13">
        <f t="shared" si="44"/>
        <v>11264</v>
      </c>
      <c r="AF147" s="14">
        <f t="shared" si="45"/>
        <v>20</v>
      </c>
      <c r="AG147" s="14">
        <f t="shared" si="46"/>
        <v>839</v>
      </c>
      <c r="AH147" s="19">
        <f t="shared" si="47"/>
        <v>0.11641443538998836</v>
      </c>
      <c r="AI147" s="19">
        <f t="shared" si="48"/>
        <v>7.6356558305099096</v>
      </c>
      <c r="AJ147" s="19">
        <f t="shared" si="49"/>
        <v>26.610549407000001</v>
      </c>
      <c r="AK147" s="19">
        <f t="shared" si="50"/>
        <v>6.6948258514592105</v>
      </c>
      <c r="AL147" s="19">
        <f t="shared" si="51"/>
        <v>23.303594307000001</v>
      </c>
      <c r="AM147" s="20">
        <f>AI147/Assumptions!$B$13</f>
        <v>0.12120088619856999</v>
      </c>
      <c r="AN147" s="20">
        <f>AK147/Assumptions!$B$13</f>
        <v>0.10626707700728906</v>
      </c>
      <c r="AO147" s="19">
        <f t="shared" si="52"/>
        <v>6.387592433845807</v>
      </c>
      <c r="AP147" s="17">
        <f>H147*Assumptions!$B$16/1000000000000</f>
        <v>167.35441832624483</v>
      </c>
      <c r="AQ147" s="14">
        <f>AP147/Assumptions!$B$9</f>
        <v>41.838604581561206</v>
      </c>
      <c r="AR147" s="20">
        <f>AQ147/Assumptions!$B$11</f>
        <v>4.1838604581561203E-2</v>
      </c>
      <c r="AS147" s="14">
        <f t="shared" si="53"/>
        <v>81.465465442027892</v>
      </c>
      <c r="AT147" s="14">
        <f>Assumptions!$B$21*O147/100</f>
        <v>43.199038220317036</v>
      </c>
      <c r="AU147" s="14">
        <f>Assumptions!$B$21*P147/100</f>
        <v>67.92328538281248</v>
      </c>
      <c r="AV147" s="18">
        <f>H147/(K147*Assumptions!$B$9)</f>
        <v>0.96309112337280045</v>
      </c>
      <c r="AW147" s="18">
        <f t="shared" si="54"/>
        <v>7.0804840648182696E-2</v>
      </c>
    </row>
    <row r="148" spans="1:49" x14ac:dyDescent="0.2">
      <c r="A148" s="16">
        <v>1024</v>
      </c>
      <c r="B148" s="16">
        <v>10240</v>
      </c>
      <c r="C148" s="16">
        <v>10</v>
      </c>
      <c r="D148" s="16">
        <v>100</v>
      </c>
      <c r="E148" s="16">
        <v>852</v>
      </c>
      <c r="F148" s="17">
        <v>372.90232512808899</v>
      </c>
      <c r="G148" s="14">
        <v>67.954705984332406</v>
      </c>
      <c r="H148" s="17">
        <v>1205.9390089774299</v>
      </c>
      <c r="I148" s="14">
        <v>99</v>
      </c>
      <c r="J148" s="16">
        <v>100</v>
      </c>
      <c r="K148" s="14">
        <v>310.10000000000002</v>
      </c>
      <c r="L148" s="14">
        <v>350.4</v>
      </c>
      <c r="M148" s="13">
        <v>87671</v>
      </c>
      <c r="N148" s="13">
        <v>87671</v>
      </c>
      <c r="O148" s="14">
        <v>64.070588235294096</v>
      </c>
      <c r="P148" s="14">
        <v>100</v>
      </c>
      <c r="Q148" s="18">
        <v>0.98939588235294096</v>
      </c>
      <c r="R148" s="18">
        <v>0.998</v>
      </c>
      <c r="S148" s="18">
        <v>0.563905294117647</v>
      </c>
      <c r="T148" s="18">
        <v>0.68400000000000005</v>
      </c>
      <c r="U148" s="18">
        <v>3.9735294117647001E-2</v>
      </c>
      <c r="V148" s="18">
        <v>5.5E-2</v>
      </c>
      <c r="W148" s="18">
        <v>0.152</v>
      </c>
      <c r="X148" s="18">
        <v>0.23599999999999999</v>
      </c>
      <c r="Y148" s="18">
        <v>0.56722882352941195</v>
      </c>
      <c r="Z148" s="18">
        <v>0.69</v>
      </c>
      <c r="AA148" s="13">
        <v>7490783847.9682398</v>
      </c>
      <c r="AB148" s="13">
        <v>27297797151</v>
      </c>
      <c r="AC148" s="13">
        <v>6568583872.5535297</v>
      </c>
      <c r="AD148" s="13">
        <v>23901145611</v>
      </c>
      <c r="AE148" s="13">
        <f t="shared" si="44"/>
        <v>11264</v>
      </c>
      <c r="AF148" s="14">
        <f t="shared" si="45"/>
        <v>10</v>
      </c>
      <c r="AG148" s="14">
        <f t="shared" si="46"/>
        <v>842</v>
      </c>
      <c r="AH148" s="19">
        <f t="shared" si="47"/>
        <v>0.11737089201877934</v>
      </c>
      <c r="AI148" s="19">
        <f t="shared" si="48"/>
        <v>7.49078384796824</v>
      </c>
      <c r="AJ148" s="19">
        <f t="shared" si="49"/>
        <v>27.297797151000001</v>
      </c>
      <c r="AK148" s="19">
        <f t="shared" si="50"/>
        <v>6.5685838725535302</v>
      </c>
      <c r="AL148" s="19">
        <f t="shared" si="51"/>
        <v>23.901145611</v>
      </c>
      <c r="AM148" s="20">
        <f>AI148/Assumptions!$B$13</f>
        <v>0.11890133092013079</v>
      </c>
      <c r="AN148" s="20">
        <f>AK148/Assumptions!$B$13</f>
        <v>0.10426323607227826</v>
      </c>
      <c r="AO148" s="19">
        <f t="shared" si="52"/>
        <v>6.2115776935684446</v>
      </c>
      <c r="AP148" s="17">
        <f>H148*Assumptions!$B$16/1000000000000</f>
        <v>168.83146125684019</v>
      </c>
      <c r="AQ148" s="14">
        <f>AP148/Assumptions!$B$9</f>
        <v>42.207865314210046</v>
      </c>
      <c r="AR148" s="20">
        <f>AQ148/Assumptions!$B$11</f>
        <v>4.2207865314210044E-2</v>
      </c>
      <c r="AS148" s="14">
        <f t="shared" si="53"/>
        <v>81.94923079009844</v>
      </c>
      <c r="AT148" s="14">
        <f>Assumptions!$B$21*O148/100</f>
        <v>43.693622985447284</v>
      </c>
      <c r="AU148" s="14">
        <f>Assumptions!$B$21*P148/100</f>
        <v>68.196069661458324</v>
      </c>
      <c r="AV148" s="18">
        <f>H148/(K148*Assumptions!$B$9)</f>
        <v>0.97221784019463864</v>
      </c>
      <c r="AW148" s="18">
        <f t="shared" si="54"/>
        <v>7.0464481415840483E-2</v>
      </c>
    </row>
    <row r="149" spans="1:49" x14ac:dyDescent="0.2">
      <c r="A149" s="16">
        <v>1024</v>
      </c>
      <c r="B149" s="16">
        <v>10240</v>
      </c>
      <c r="C149" s="16">
        <v>20</v>
      </c>
      <c r="D149" s="16">
        <v>100</v>
      </c>
      <c r="E149" s="16">
        <v>850</v>
      </c>
      <c r="F149" s="17">
        <v>1050.5711143196099</v>
      </c>
      <c r="G149" s="14">
        <v>67.930118443616294</v>
      </c>
      <c r="H149" s="17">
        <v>1208.90965875506</v>
      </c>
      <c r="I149" s="14">
        <v>99.2</v>
      </c>
      <c r="J149" s="16">
        <v>100</v>
      </c>
      <c r="K149" s="14">
        <v>310.10000000000002</v>
      </c>
      <c r="L149" s="14">
        <v>350.1</v>
      </c>
      <c r="M149" s="13">
        <v>87951</v>
      </c>
      <c r="N149" s="13">
        <v>87955</v>
      </c>
      <c r="O149" s="14">
        <v>64.092941176470603</v>
      </c>
      <c r="P149" s="14">
        <v>99.6</v>
      </c>
      <c r="Q149" s="18">
        <v>0.99025589622641497</v>
      </c>
      <c r="R149" s="18">
        <v>1</v>
      </c>
      <c r="S149" s="18">
        <v>0.56403832547169797</v>
      </c>
      <c r="T149" s="18">
        <v>0.68300000000000005</v>
      </c>
      <c r="U149" s="18">
        <v>3.9740566037735799E-2</v>
      </c>
      <c r="V149" s="18">
        <v>6.5000000000000002E-2</v>
      </c>
      <c r="W149" s="18">
        <v>0.15190094339622601</v>
      </c>
      <c r="X149" s="18">
        <v>0.245</v>
      </c>
      <c r="Y149" s="18">
        <v>0.56771344339622598</v>
      </c>
      <c r="Z149" s="18">
        <v>0.69299999999999995</v>
      </c>
      <c r="AA149" s="13">
        <v>7487203163.7712297</v>
      </c>
      <c r="AB149" s="13">
        <v>30119905202</v>
      </c>
      <c r="AC149" s="13">
        <v>6565338303.0117903</v>
      </c>
      <c r="AD149" s="13">
        <v>26358924009</v>
      </c>
      <c r="AE149" s="13">
        <f t="shared" si="44"/>
        <v>11264</v>
      </c>
      <c r="AF149" s="14">
        <f t="shared" si="45"/>
        <v>5</v>
      </c>
      <c r="AG149" s="14">
        <f t="shared" si="46"/>
        <v>845</v>
      </c>
      <c r="AH149" s="19">
        <f t="shared" si="47"/>
        <v>0.11764705882352941</v>
      </c>
      <c r="AI149" s="19">
        <f t="shared" si="48"/>
        <v>7.4872031637712295</v>
      </c>
      <c r="AJ149" s="19">
        <f t="shared" si="49"/>
        <v>30.119905202000002</v>
      </c>
      <c r="AK149" s="19">
        <f t="shared" si="50"/>
        <v>6.5653383030117904</v>
      </c>
      <c r="AL149" s="19">
        <f t="shared" si="51"/>
        <v>26.358924008999999</v>
      </c>
      <c r="AM149" s="20">
        <f>AI149/Assumptions!$B$13</f>
        <v>0.11884449466303539</v>
      </c>
      <c r="AN149" s="20">
        <f>AK149/Assumptions!$B$13</f>
        <v>0.10421171909542525</v>
      </c>
      <c r="AO149" s="19">
        <f t="shared" si="52"/>
        <v>6.1933520917365996</v>
      </c>
      <c r="AP149" s="17">
        <f>H149*Assumptions!$B$16/1000000000000</f>
        <v>169.2473522257084</v>
      </c>
      <c r="AQ149" s="14">
        <f>AP149/Assumptions!$B$9</f>
        <v>42.311838056427099</v>
      </c>
      <c r="AR149" s="20">
        <f>AQ149/Assumptions!$B$11</f>
        <v>4.2311838056427097E-2</v>
      </c>
      <c r="AS149" s="14">
        <f t="shared" si="53"/>
        <v>82.121376306862985</v>
      </c>
      <c r="AT149" s="14">
        <f>Assumptions!$B$21*O149/100</f>
        <v>43.708866812783398</v>
      </c>
      <c r="AU149" s="14">
        <f>Assumptions!$B$21*P149/100</f>
        <v>67.92328538281248</v>
      </c>
      <c r="AV149" s="18">
        <f>H149/(K149*Assumptions!$B$9)</f>
        <v>0.97461275294667848</v>
      </c>
      <c r="AW149" s="18">
        <f t="shared" si="54"/>
        <v>7.0457208744638539E-2</v>
      </c>
    </row>
    <row r="150" spans="1:49" x14ac:dyDescent="0.2">
      <c r="A150" s="16">
        <v>1024</v>
      </c>
      <c r="B150" s="16">
        <v>10240</v>
      </c>
      <c r="C150" s="16">
        <v>50</v>
      </c>
      <c r="D150" s="16">
        <v>100</v>
      </c>
      <c r="E150" s="16">
        <v>849</v>
      </c>
      <c r="F150" s="17">
        <v>2486.6283404483702</v>
      </c>
      <c r="G150" s="14">
        <v>67.919252518926498</v>
      </c>
      <c r="H150" s="17">
        <v>1209.33492803065</v>
      </c>
      <c r="I150" s="14">
        <v>99.1</v>
      </c>
      <c r="J150" s="16">
        <v>100</v>
      </c>
      <c r="K150" s="14">
        <v>310.2</v>
      </c>
      <c r="L150" s="14">
        <v>367.5</v>
      </c>
      <c r="M150" s="13">
        <v>88303.7</v>
      </c>
      <c r="N150" s="13">
        <v>88307</v>
      </c>
      <c r="O150" s="14">
        <v>64.028235294117707</v>
      </c>
      <c r="P150" s="14">
        <v>99.8</v>
      </c>
      <c r="Q150" s="18">
        <v>0.99034257075471699</v>
      </c>
      <c r="R150" s="18">
        <v>1</v>
      </c>
      <c r="S150" s="18">
        <v>0.56429658018867901</v>
      </c>
      <c r="T150" s="18">
        <v>0.68300000000000005</v>
      </c>
      <c r="U150" s="18">
        <v>3.9800117924528297E-2</v>
      </c>
      <c r="V150" s="18">
        <v>7.1999999999999995E-2</v>
      </c>
      <c r="W150" s="18">
        <v>0.15185495283018899</v>
      </c>
      <c r="X150" s="18">
        <v>0.23899999999999999</v>
      </c>
      <c r="Y150" s="18">
        <v>0.56790742924528304</v>
      </c>
      <c r="Z150" s="18">
        <v>0.69199999999999995</v>
      </c>
      <c r="AA150" s="13">
        <v>7478955440.6362</v>
      </c>
      <c r="AB150" s="13">
        <v>31174142949</v>
      </c>
      <c r="AC150" s="13">
        <v>6558198994.9239397</v>
      </c>
      <c r="AD150" s="13">
        <v>27279863683</v>
      </c>
      <c r="AE150" s="13">
        <f t="shared" si="44"/>
        <v>11264</v>
      </c>
      <c r="AF150" s="14">
        <f t="shared" si="45"/>
        <v>2</v>
      </c>
      <c r="AG150" s="14">
        <f t="shared" si="46"/>
        <v>847</v>
      </c>
      <c r="AH150" s="19">
        <f t="shared" si="47"/>
        <v>0.11778563015312132</v>
      </c>
      <c r="AI150" s="19">
        <f t="shared" si="48"/>
        <v>7.4789554406361995</v>
      </c>
      <c r="AJ150" s="19">
        <f t="shared" si="49"/>
        <v>31.174142949</v>
      </c>
      <c r="AK150" s="19">
        <f t="shared" si="50"/>
        <v>6.5581989949239397</v>
      </c>
      <c r="AL150" s="19">
        <f t="shared" si="51"/>
        <v>27.279863682999999</v>
      </c>
      <c r="AM150" s="20">
        <f>AI150/Assumptions!$B$13</f>
        <v>0.11871357842279681</v>
      </c>
      <c r="AN150" s="20">
        <f>AK150/Assumptions!$B$13</f>
        <v>0.10409839674482443</v>
      </c>
      <c r="AO150" s="19">
        <f t="shared" si="52"/>
        <v>6.1843541167006215</v>
      </c>
      <c r="AP150" s="17">
        <f>H150*Assumptions!$B$16/1000000000000</f>
        <v>169.306889924291</v>
      </c>
      <c r="AQ150" s="14">
        <f>AP150/Assumptions!$B$9</f>
        <v>42.32672248107275</v>
      </c>
      <c r="AR150" s="20">
        <f>AQ150/Assumptions!$B$11</f>
        <v>4.2326722481072748E-2</v>
      </c>
      <c r="AS150" s="14">
        <f t="shared" si="53"/>
        <v>82.13712435687151</v>
      </c>
      <c r="AT150" s="14">
        <f>Assumptions!$B$21*O150/100</f>
        <v>43.664739944178955</v>
      </c>
      <c r="AU150" s="14">
        <f>Assumptions!$B$21*P150/100</f>
        <v>68.059677522135402</v>
      </c>
      <c r="AV150" s="18">
        <f>H150/(K150*Assumptions!$B$9)</f>
        <v>0.97464130241025948</v>
      </c>
      <c r="AW150" s="18">
        <f t="shared" si="54"/>
        <v>7.0530496412401916E-2</v>
      </c>
    </row>
    <row r="151" spans="1:49" x14ac:dyDescent="0.2">
      <c r="A151" s="16">
        <v>1024</v>
      </c>
      <c r="B151" s="16">
        <v>10240</v>
      </c>
      <c r="C151" s="16">
        <v>100</v>
      </c>
      <c r="D151" s="16">
        <v>100</v>
      </c>
      <c r="E151" s="16">
        <v>849</v>
      </c>
      <c r="F151" s="17">
        <v>2958.8823146361401</v>
      </c>
      <c r="G151" s="14">
        <v>67.916252835255506</v>
      </c>
      <c r="H151" s="17">
        <v>1209.43313877171</v>
      </c>
      <c r="I151" s="14">
        <v>99</v>
      </c>
      <c r="J151" s="16">
        <v>100</v>
      </c>
      <c r="K151" s="14">
        <v>310.2</v>
      </c>
      <c r="L151" s="14">
        <v>364.9</v>
      </c>
      <c r="M151" s="13">
        <v>88307</v>
      </c>
      <c r="N151" s="13">
        <v>88307</v>
      </c>
      <c r="O151" s="14">
        <v>64.065882352941202</v>
      </c>
      <c r="P151" s="14">
        <v>99.6</v>
      </c>
      <c r="Q151" s="18">
        <v>0.990360259433962</v>
      </c>
      <c r="R151" s="18">
        <v>1</v>
      </c>
      <c r="S151" s="18">
        <v>0.564272995283019</v>
      </c>
      <c r="T151" s="18">
        <v>0.68300000000000005</v>
      </c>
      <c r="U151" s="18">
        <v>3.9790683962264102E-2</v>
      </c>
      <c r="V151" s="18">
        <v>7.1999999999999995E-2</v>
      </c>
      <c r="W151" s="18">
        <v>0.15182959905660401</v>
      </c>
      <c r="X151" s="18">
        <v>0.24</v>
      </c>
      <c r="Y151" s="18">
        <v>0.56789563679245303</v>
      </c>
      <c r="Z151" s="18">
        <v>0.69299999999999995</v>
      </c>
      <c r="AA151" s="13">
        <v>7479554016.6833696</v>
      </c>
      <c r="AB151" s="13">
        <v>31122928543</v>
      </c>
      <c r="AC151" s="13">
        <v>6558558554.0530701</v>
      </c>
      <c r="AD151" s="13">
        <v>27234708697</v>
      </c>
      <c r="AE151" s="13">
        <f t="shared" si="44"/>
        <v>11264</v>
      </c>
      <c r="AF151" s="14">
        <f t="shared" si="45"/>
        <v>1</v>
      </c>
      <c r="AG151" s="14">
        <f t="shared" si="46"/>
        <v>848</v>
      </c>
      <c r="AH151" s="19">
        <f t="shared" si="47"/>
        <v>0.11778563015312132</v>
      </c>
      <c r="AI151" s="19">
        <f t="shared" si="48"/>
        <v>7.4795540166833696</v>
      </c>
      <c r="AJ151" s="19">
        <f t="shared" si="49"/>
        <v>31.122928543</v>
      </c>
      <c r="AK151" s="19">
        <f t="shared" si="50"/>
        <v>6.5585585540530698</v>
      </c>
      <c r="AL151" s="19">
        <f t="shared" si="51"/>
        <v>27.234708696999999</v>
      </c>
      <c r="AM151" s="20">
        <f>AI151/Assumptions!$B$13</f>
        <v>0.11872307962989476</v>
      </c>
      <c r="AN151" s="20">
        <f>AK151/Assumptions!$B$13</f>
        <v>0.10410410403258841</v>
      </c>
      <c r="AO151" s="19">
        <f t="shared" si="52"/>
        <v>6.1843468455639821</v>
      </c>
      <c r="AP151" s="17">
        <f>H151*Assumptions!$B$16/1000000000000</f>
        <v>169.32063942803941</v>
      </c>
      <c r="AQ151" s="14">
        <f>AP151/Assumptions!$B$9</f>
        <v>42.330159857009853</v>
      </c>
      <c r="AR151" s="20">
        <f>AQ151/Assumptions!$B$11</f>
        <v>4.2330159857009851E-2</v>
      </c>
      <c r="AS151" s="14">
        <f t="shared" si="53"/>
        <v>82.140166840156112</v>
      </c>
      <c r="AT151" s="14">
        <f>Assumptions!$B$21*O151/100</f>
        <v>43.690413758639714</v>
      </c>
      <c r="AU151" s="14">
        <f>Assumptions!$B$21*P151/100</f>
        <v>67.92328538281248</v>
      </c>
      <c r="AV151" s="18">
        <f>H151/(K151*Assumptions!$B$9)</f>
        <v>0.97472045355553683</v>
      </c>
      <c r="AW151" s="18">
        <f t="shared" si="54"/>
        <v>7.0516725582989367E-2</v>
      </c>
    </row>
  </sheetData>
  <autoFilter ref="A1:AW15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"/>
  <sheetViews>
    <sheetView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E1" sqref="E1"/>
    </sheetView>
  </sheetViews>
  <sheetFormatPr baseColWidth="10" defaultColWidth="8.6640625" defaultRowHeight="15" x14ac:dyDescent="0.2"/>
  <cols>
    <col min="1" max="25" width="14" customWidth="1"/>
  </cols>
  <sheetData>
    <row r="1" spans="1:25" ht="18" x14ac:dyDescent="0.2">
      <c r="A1" s="2" t="s">
        <v>139</v>
      </c>
    </row>
    <row r="2" spans="1:25" x14ac:dyDescent="0.2">
      <c r="A2" s="4" t="s">
        <v>140</v>
      </c>
    </row>
    <row r="4" spans="1:25" ht="57.75" customHeight="1" x14ac:dyDescent="0.2">
      <c r="A4" s="5" t="s">
        <v>91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  <c r="I4" s="5" t="s">
        <v>148</v>
      </c>
      <c r="J4" s="5" t="s">
        <v>149</v>
      </c>
      <c r="K4" s="5" t="s">
        <v>150</v>
      </c>
      <c r="L4" s="5" t="s">
        <v>151</v>
      </c>
      <c r="M4" s="5" t="s">
        <v>152</v>
      </c>
      <c r="N4" s="5" t="s">
        <v>153</v>
      </c>
      <c r="O4" s="5" t="s">
        <v>154</v>
      </c>
      <c r="P4" s="5" t="s">
        <v>155</v>
      </c>
      <c r="Q4" s="5" t="s">
        <v>156</v>
      </c>
      <c r="R4" s="5" t="s">
        <v>157</v>
      </c>
      <c r="S4" s="5" t="s">
        <v>158</v>
      </c>
      <c r="T4" s="5" t="s">
        <v>159</v>
      </c>
      <c r="U4" s="5" t="s">
        <v>160</v>
      </c>
      <c r="V4" s="5" t="s">
        <v>161</v>
      </c>
      <c r="W4" s="5" t="s">
        <v>162</v>
      </c>
      <c r="X4" s="5" t="s">
        <v>163</v>
      </c>
      <c r="Y4" s="5" t="s">
        <v>164</v>
      </c>
    </row>
    <row r="5" spans="1:25" x14ac:dyDescent="0.2">
      <c r="A5" s="21">
        <v>128</v>
      </c>
      <c r="B5" s="13">
        <f>AVERAGEIFS(Data!$H$2:$H$151,Data!$B$2:$B$151,$A5)</f>
        <v>1202.0916176234782</v>
      </c>
      <c r="C5" s="17">
        <f>AVERAGEIFS(Data!$F$2:$F$151,Data!$B$2:$B$151,$A5)</f>
        <v>106.34532126265118</v>
      </c>
      <c r="D5" s="14">
        <f>AVERAGEIFS(Data!$G$2:$G$151,Data!$B$2:$B$151,$A5)</f>
        <v>37.804395240885817</v>
      </c>
      <c r="E5" s="13">
        <f>AVERAGEIFS(Data!$E$2:$E$151,Data!$B$2:$B$151,$A5)</f>
        <v>19.16</v>
      </c>
      <c r="F5" s="17">
        <f>AVERAGEIFS(Data!$AG$2:$AG$151,Data!$B$2:$B$151,$A5)</f>
        <v>11.56</v>
      </c>
      <c r="G5" s="14">
        <f>AVERAGEIFS(Data!$I$2:$I$151,Data!$B$2:$B$151,$A5)</f>
        <v>64.983999999999995</v>
      </c>
      <c r="H5" s="14">
        <f>AVERAGEIFS(Data!$K$2:$K$151,Data!$B$2:$B$151,$A5)</f>
        <v>194.66800000000001</v>
      </c>
      <c r="I5" s="18">
        <f>AVERAGEIFS(Data!$Q$2:$Q$151,Data!$B$2:$B$151,$A5)</f>
        <v>0.66715129761904768</v>
      </c>
      <c r="J5" s="18">
        <f>AVERAGEIFS(Data!$S$2:$S$151,Data!$B$2:$B$151,$A5)</f>
        <v>0.24820115476190477</v>
      </c>
      <c r="K5" s="18">
        <f>AVERAGEIFS(Data!$U$2:$U$151,Data!$B$2:$B$151,$A5)</f>
        <v>2.169570902624721E-2</v>
      </c>
      <c r="L5" s="18">
        <f>AVERAGEIFS(Data!$W$2:$W$151,Data!$B$2:$B$151,$A5)</f>
        <v>7.54784251486008E-2</v>
      </c>
      <c r="M5" s="18">
        <f>_xlfn.MAXIFS(Data!$X$2:$X$151,Data!$B$2:$B$151,$A5)</f>
        <v>0.21099999999999999</v>
      </c>
      <c r="N5" s="18">
        <f>AVERAGEIFS(Data!$Y$2:$Y$151,Data!$B$2:$B$151,$A5)</f>
        <v>0.23719034956709956</v>
      </c>
      <c r="O5" s="19">
        <f>AVERAGEIFS(Data!$AI$2:$AI$151,Data!$B$2:$B$151,$A5)</f>
        <v>7.1704429493401678</v>
      </c>
      <c r="P5" s="19">
        <f>_xlfn.MAXIFS(Data!$AJ$2:$AJ$151,Data!$B$2:$B$151,$A5)</f>
        <v>22.441567212999999</v>
      </c>
      <c r="Q5" s="19">
        <f>AVERAGEIFS(Data!$AK$2:$AK$151,Data!$B$2:$B$151,$A5)</f>
        <v>6.3399274848496301</v>
      </c>
      <c r="R5" s="19">
        <f>_xlfn.MAXIFS(Data!$AL$2:$AL$151,Data!$B$2:$B$151,$A5)</f>
        <v>19.722399386999999</v>
      </c>
      <c r="S5" s="14">
        <f>AVERAGEIFS(Data!$O$2:$O$151,Data!$B$2:$B$151,$A5)</f>
        <v>1.7993333333333337</v>
      </c>
      <c r="T5" s="14">
        <f>_xlfn.MAXIFS(Data!$P$2:$P$151,Data!$B$2:$B$151,$A5)</f>
        <v>5.5</v>
      </c>
      <c r="U5" s="19">
        <f>AVERAGEIFS(Data!$AO$2:$AO$151,Data!$B$2:$B$151,$A5)</f>
        <v>7.6673340274168265</v>
      </c>
      <c r="V5" s="14">
        <f>AVERAGEIFS(Data!$AQ$2:$AQ$151,Data!$B$2:$B$151,$A5)</f>
        <v>42.073206616821743</v>
      </c>
      <c r="W5" s="20">
        <f>AVERAGEIFS(Data!$AR$2:$AR$151,Data!$B$2:$B$151,$A5)</f>
        <v>4.2073206616821734E-2</v>
      </c>
      <c r="X5" s="14">
        <f>AVERAGEIFS(Data!$AS$2:$AS$151,Data!$B$2:$B$151,$A5)</f>
        <v>46.856612278191442</v>
      </c>
      <c r="Y5" s="18">
        <f>AVERAGEIFS(Data!$AV$2:$AV$151,Data!$B$2:$B$151,$A5)</f>
        <v>1.6158649429292087</v>
      </c>
    </row>
    <row r="6" spans="1:25" x14ac:dyDescent="0.2">
      <c r="A6" s="21">
        <v>512</v>
      </c>
      <c r="B6" s="13">
        <f>AVERAGEIFS(Data!$H$2:$H$151,Data!$B$2:$B$151,$A6)</f>
        <v>1644.7634880309984</v>
      </c>
      <c r="C6" s="17">
        <f>AVERAGEIFS(Data!$F$2:$F$151,Data!$B$2:$B$151,$A6)</f>
        <v>100.61797096785158</v>
      </c>
      <c r="D6" s="14">
        <f>AVERAGEIFS(Data!$G$2:$G$151,Data!$B$2:$B$151,$A6)</f>
        <v>41.018487184582824</v>
      </c>
      <c r="E6" s="13">
        <f>AVERAGEIFS(Data!$E$2:$E$151,Data!$B$2:$B$151,$A6)</f>
        <v>38.04</v>
      </c>
      <c r="F6" s="17">
        <f>AVERAGEIFS(Data!$AG$2:$AG$151,Data!$B$2:$B$151,$A6)</f>
        <v>30.44</v>
      </c>
      <c r="G6" s="14">
        <f>AVERAGEIFS(Data!$I$2:$I$151,Data!$B$2:$B$151,$A6)</f>
        <v>83.5</v>
      </c>
      <c r="H6" s="14">
        <f>AVERAGEIFS(Data!$K$2:$K$151,Data!$B$2:$B$151,$A6)</f>
        <v>240.9</v>
      </c>
      <c r="I6" s="18">
        <f>AVERAGEIFS(Data!$Q$2:$Q$151,Data!$B$2:$B$151,$A6)</f>
        <v>0.85104663323502894</v>
      </c>
      <c r="J6" s="18">
        <f>AVERAGEIFS(Data!$S$2:$S$151,Data!$B$2:$B$151,$A6)</f>
        <v>0.31214753439955478</v>
      </c>
      <c r="K6" s="18">
        <f>AVERAGEIFS(Data!$U$2:$U$151,Data!$B$2:$B$151,$A6)</f>
        <v>2.5852922147166595E-2</v>
      </c>
      <c r="L6" s="18">
        <f>AVERAGEIFS(Data!$W$2:$W$151,Data!$B$2:$B$151,$A6)</f>
        <v>0.10467284923318998</v>
      </c>
      <c r="M6" s="18">
        <f>_xlfn.MAXIFS(Data!$X$2:$X$151,Data!$B$2:$B$151,$A6)</f>
        <v>0.20899999999999999</v>
      </c>
      <c r="N6" s="18">
        <f>AVERAGEIFS(Data!$Y$2:$Y$151,Data!$B$2:$B$151,$A6)</f>
        <v>0.31130367873635162</v>
      </c>
      <c r="O6" s="19">
        <f>AVERAGEIFS(Data!$AI$2:$AI$151,Data!$B$2:$B$151,$A6)</f>
        <v>9.468207308073282</v>
      </c>
      <c r="P6" s="19">
        <f>_xlfn.MAXIFS(Data!$AJ$2:$AJ$151,Data!$B$2:$B$151,$A6)</f>
        <v>14.506231071</v>
      </c>
      <c r="Q6" s="19">
        <f>AVERAGEIFS(Data!$AK$2:$AK$151,Data!$B$2:$B$151,$A6)</f>
        <v>8.3380073235053729</v>
      </c>
      <c r="R6" s="19">
        <f>_xlfn.MAXIFS(Data!$AL$2:$AL$151,Data!$B$2:$B$151,$A6)</f>
        <v>13.009084592000001</v>
      </c>
      <c r="S6" s="14">
        <f>AVERAGEIFS(Data!$O$2:$O$151,Data!$B$2:$B$151,$A6)</f>
        <v>5.2216666666666676</v>
      </c>
      <c r="T6" s="14">
        <f>_xlfn.MAXIFS(Data!$P$2:$P$151,Data!$B$2:$B$151,$A6)</f>
        <v>16.399999999999999</v>
      </c>
      <c r="U6" s="19">
        <f>AVERAGEIFS(Data!$AO$2:$AO$151,Data!$B$2:$B$151,$A6)</f>
        <v>5.8642621128805752</v>
      </c>
      <c r="V6" s="14">
        <f>AVERAGEIFS(Data!$AQ$2:$AQ$151,Data!$B$2:$B$151,$A6)</f>
        <v>57.566722081084954</v>
      </c>
      <c r="W6" s="20">
        <f>AVERAGEIFS(Data!$AR$2:$AR$151,Data!$B$2:$B$151,$A6)</f>
        <v>5.7566722081084931E-2</v>
      </c>
      <c r="X6" s="14">
        <f>AVERAGEIFS(Data!$AS$2:$AS$151,Data!$B$2:$B$151,$A6)</f>
        <v>67.813268212461111</v>
      </c>
      <c r="Y6" s="18">
        <f>AVERAGEIFS(Data!$AV$2:$AV$151,Data!$B$2:$B$151,$A6)</f>
        <v>1.7106734786338416</v>
      </c>
    </row>
    <row r="7" spans="1:25" x14ac:dyDescent="0.2">
      <c r="A7" s="21">
        <v>1024</v>
      </c>
      <c r="B7" s="13">
        <f>AVERAGEIFS(Data!$H$2:$H$151,Data!$B$2:$B$151,$A7)</f>
        <v>1745.6628004820304</v>
      </c>
      <c r="C7" s="17">
        <f>AVERAGEIFS(Data!$F$2:$F$151,Data!$B$2:$B$151,$A7)</f>
        <v>100.48697565635668</v>
      </c>
      <c r="D7" s="14">
        <f>AVERAGEIFS(Data!$G$2:$G$151,Data!$B$2:$B$151,$A7)</f>
        <v>42.797139429812063</v>
      </c>
      <c r="E7" s="13">
        <f>AVERAGEIFS(Data!$E$2:$E$151,Data!$B$2:$B$151,$A7)</f>
        <v>65.599999999999994</v>
      </c>
      <c r="F7" s="17">
        <f>AVERAGEIFS(Data!$AG$2:$AG$151,Data!$B$2:$B$151,$A7)</f>
        <v>58</v>
      </c>
      <c r="G7" s="14">
        <f>AVERAGEIFS(Data!$I$2:$I$151,Data!$B$2:$B$151,$A7)</f>
        <v>89.571999999999989</v>
      </c>
      <c r="H7" s="14">
        <f>AVERAGEIFS(Data!$K$2:$K$151,Data!$B$2:$B$151,$A7)</f>
        <v>248.72800000000004</v>
      </c>
      <c r="I7" s="18">
        <f>AVERAGEIFS(Data!$Q$2:$Q$151,Data!$B$2:$B$151,$A7)</f>
        <v>0.90635162048976525</v>
      </c>
      <c r="J7" s="18">
        <f>AVERAGEIFS(Data!$S$2:$S$151,Data!$B$2:$B$151,$A7)</f>
        <v>0.34187560233552922</v>
      </c>
      <c r="K7" s="18">
        <f>AVERAGEIFS(Data!$U$2:$U$151,Data!$B$2:$B$151,$A7)</f>
        <v>2.7816351910796951E-2</v>
      </c>
      <c r="L7" s="18">
        <f>AVERAGEIFS(Data!$W$2:$W$151,Data!$B$2:$B$151,$A7)</f>
        <v>0.11297212730782945</v>
      </c>
      <c r="M7" s="18">
        <f>_xlfn.MAXIFS(Data!$X$2:$X$151,Data!$B$2:$B$151,$A7)</f>
        <v>0.2</v>
      </c>
      <c r="N7" s="18">
        <f>AVERAGEIFS(Data!$Y$2:$Y$151,Data!$B$2:$B$151,$A7)</f>
        <v>0.34541676521382703</v>
      </c>
      <c r="O7" s="19">
        <f>AVERAGEIFS(Data!$AI$2:$AI$151,Data!$B$2:$B$151,$A7)</f>
        <v>10.138133484459196</v>
      </c>
      <c r="P7" s="19">
        <f>_xlfn.MAXIFS(Data!$AJ$2:$AJ$151,Data!$B$2:$B$151,$A7)</f>
        <v>15.220624577000001</v>
      </c>
      <c r="Q7" s="19">
        <f>AVERAGEIFS(Data!$AK$2:$AK$151,Data!$B$2:$B$151,$A7)</f>
        <v>8.9064888988388375</v>
      </c>
      <c r="R7" s="19">
        <f>_xlfn.MAXIFS(Data!$AL$2:$AL$151,Data!$B$2:$B$151,$A7)</f>
        <v>13.667287754</v>
      </c>
      <c r="S7" s="14">
        <f>AVERAGEIFS(Data!$O$2:$O$151,Data!$B$2:$B$151,$A7)</f>
        <v>8.2708761904761907</v>
      </c>
      <c r="T7" s="14">
        <f>_xlfn.MAXIFS(Data!$P$2:$P$151,Data!$B$2:$B$151,$A7)</f>
        <v>20.7</v>
      </c>
      <c r="U7" s="19">
        <f>AVERAGEIFS(Data!$AO$2:$AO$151,Data!$B$2:$B$151,$A7)</f>
        <v>5.8356722363288771</v>
      </c>
      <c r="V7" s="14">
        <f>AVERAGEIFS(Data!$AQ$2:$AQ$151,Data!$B$2:$B$151,$A7)</f>
        <v>61.098198016871045</v>
      </c>
      <c r="W7" s="20">
        <f>AVERAGEIFS(Data!$AR$2:$AR$151,Data!$B$2:$B$151,$A7)</f>
        <v>6.109819801687108E-2</v>
      </c>
      <c r="X7" s="14">
        <f>AVERAGEIFS(Data!$AS$2:$AS$151,Data!$B$2:$B$151,$A7)</f>
        <v>74.727636372371933</v>
      </c>
      <c r="Y7" s="18">
        <f>AVERAGEIFS(Data!$AV$2:$AV$151,Data!$B$2:$B$151,$A7)</f>
        <v>1.7575209275098871</v>
      </c>
    </row>
    <row r="8" spans="1:25" x14ac:dyDescent="0.2">
      <c r="A8" s="21">
        <v>2048</v>
      </c>
      <c r="B8" s="13">
        <f>AVERAGEIFS(Data!$H$2:$H$151,Data!$B$2:$B$151,$A8)</f>
        <v>1730.0949085509139</v>
      </c>
      <c r="C8" s="17">
        <f>AVERAGEIFS(Data!$F$2:$F$151,Data!$B$2:$B$151,$A8)</f>
        <v>112.22658088039607</v>
      </c>
      <c r="D8" s="14">
        <f>AVERAGEIFS(Data!$G$2:$G$151,Data!$B$2:$B$151,$A8)</f>
        <v>45.649726437859336</v>
      </c>
      <c r="E8" s="13">
        <f>AVERAGEIFS(Data!$E$2:$E$151,Data!$B$2:$B$151,$A8)</f>
        <v>124.4</v>
      </c>
      <c r="F8" s="17">
        <f>AVERAGEIFS(Data!$AG$2:$AG$151,Data!$B$2:$B$151,$A8)</f>
        <v>116.8</v>
      </c>
      <c r="G8" s="14">
        <f>AVERAGEIFS(Data!$I$2:$I$151,Data!$B$2:$B$151,$A8)</f>
        <v>94.887999999999977</v>
      </c>
      <c r="H8" s="14">
        <f>AVERAGEIFS(Data!$K$2:$K$151,Data!$B$2:$B$151,$A8)</f>
        <v>261.29999999999995</v>
      </c>
      <c r="I8" s="18">
        <f>AVERAGEIFS(Data!$Q$2:$Q$151,Data!$B$2:$B$151,$A8)</f>
        <v>0.95153570698149037</v>
      </c>
      <c r="J8" s="18">
        <f>AVERAGEIFS(Data!$S$2:$S$151,Data!$B$2:$B$151,$A8)</f>
        <v>0.38288777295952769</v>
      </c>
      <c r="K8" s="18">
        <f>AVERAGEIFS(Data!$U$2:$U$151,Data!$B$2:$B$151,$A8)</f>
        <v>3.027215797780913E-2</v>
      </c>
      <c r="L8" s="18">
        <f>AVERAGEIFS(Data!$W$2:$W$151,Data!$B$2:$B$151,$A8)</f>
        <v>0.12311410274356335</v>
      </c>
      <c r="M8" s="18">
        <f>_xlfn.MAXIFS(Data!$X$2:$X$151,Data!$B$2:$B$151,$A8)</f>
        <v>0.23499999999999999</v>
      </c>
      <c r="N8" s="18">
        <f>AVERAGEIFS(Data!$Y$2:$Y$151,Data!$B$2:$B$151,$A8)</f>
        <v>0.38776136748974466</v>
      </c>
      <c r="O8" s="19">
        <f>AVERAGEIFS(Data!$AI$2:$AI$151,Data!$B$2:$B$151,$A8)</f>
        <v>10.372364944479685</v>
      </c>
      <c r="P8" s="19">
        <f>_xlfn.MAXIFS(Data!$AJ$2:$AJ$151,Data!$B$2:$B$151,$A8)</f>
        <v>22.223756102999999</v>
      </c>
      <c r="Q8" s="19">
        <f>AVERAGEIFS(Data!$AK$2:$AK$151,Data!$B$2:$B$151,$A8)</f>
        <v>9.0922152276224413</v>
      </c>
      <c r="R8" s="19">
        <f>_xlfn.MAXIFS(Data!$AL$2:$AL$151,Data!$B$2:$B$151,$A8)</f>
        <v>19.4565272</v>
      </c>
      <c r="S8" s="14">
        <f>AVERAGEIFS(Data!$O$2:$O$151,Data!$B$2:$B$151,$A8)</f>
        <v>13.773700299700304</v>
      </c>
      <c r="T8" s="14">
        <f>_xlfn.MAXIFS(Data!$P$2:$P$151,Data!$B$2:$B$151,$A8)</f>
        <v>29.7</v>
      </c>
      <c r="U8" s="19">
        <f>AVERAGEIFS(Data!$AO$2:$AO$151,Data!$B$2:$B$151,$A8)</f>
        <v>6.0076880912446677</v>
      </c>
      <c r="V8" s="14">
        <f>AVERAGEIFS(Data!$AQ$2:$AQ$151,Data!$B$2:$B$151,$A8)</f>
        <v>60.553321799282003</v>
      </c>
      <c r="W8" s="20">
        <f>AVERAGEIFS(Data!$AR$2:$AR$151,Data!$B$2:$B$151,$A8)</f>
        <v>6.0553321799281988E-2</v>
      </c>
      <c r="X8" s="14">
        <f>AVERAGEIFS(Data!$AS$2:$AS$151,Data!$B$2:$B$151,$A8)</f>
        <v>78.879205046597647</v>
      </c>
      <c r="Y8" s="18">
        <f>AVERAGEIFS(Data!$AV$2:$AV$151,Data!$B$2:$B$151,$A8)</f>
        <v>1.6563738101835035</v>
      </c>
    </row>
    <row r="9" spans="1:25" x14ac:dyDescent="0.2">
      <c r="A9" s="21">
        <v>5120</v>
      </c>
      <c r="B9" s="13">
        <f>AVERAGEIFS(Data!$H$2:$H$151,Data!$B$2:$B$151,$A9)</f>
        <v>1539.4008020051533</v>
      </c>
      <c r="C9" s="17">
        <f>AVERAGEIFS(Data!$F$2:$F$151,Data!$B$2:$B$151,$A9)</f>
        <v>99.058662083162915</v>
      </c>
      <c r="D9" s="14">
        <f>AVERAGEIFS(Data!$G$2:$G$151,Data!$B$2:$B$151,$A9)</f>
        <v>52.667851686927776</v>
      </c>
      <c r="E9" s="13">
        <f>AVERAGEIFS(Data!$E$2:$E$151,Data!$B$2:$B$151,$A9)</f>
        <v>340.6</v>
      </c>
      <c r="F9" s="17">
        <f>AVERAGEIFS(Data!$AG$2:$AG$151,Data!$B$2:$B$151,$A9)</f>
        <v>333</v>
      </c>
      <c r="G9" s="14">
        <f>AVERAGEIFS(Data!$I$2:$I$151,Data!$B$2:$B$151,$A9)</f>
        <v>97.275999999999968</v>
      </c>
      <c r="H9" s="14">
        <f>AVERAGEIFS(Data!$K$2:$K$151,Data!$B$2:$B$151,$A9)</f>
        <v>282.69600000000003</v>
      </c>
      <c r="I9" s="18">
        <f>AVERAGEIFS(Data!$Q$2:$Q$151,Data!$B$2:$B$151,$A9)</f>
        <v>0.97255525538236154</v>
      </c>
      <c r="J9" s="18">
        <f>AVERAGEIFS(Data!$S$2:$S$151,Data!$B$2:$B$151,$A9)</f>
        <v>0.45909451835658854</v>
      </c>
      <c r="K9" s="18">
        <f>AVERAGEIFS(Data!$U$2:$U$151,Data!$B$2:$B$151,$A9)</f>
        <v>3.4072052658911188E-2</v>
      </c>
      <c r="L9" s="18">
        <f>AVERAGEIFS(Data!$W$2:$W$151,Data!$B$2:$B$151,$A9)</f>
        <v>0.13521571308792718</v>
      </c>
      <c r="M9" s="18">
        <f>_xlfn.MAXIFS(Data!$X$2:$X$151,Data!$B$2:$B$151,$A9)</f>
        <v>0.20100000000000001</v>
      </c>
      <c r="N9" s="18">
        <f>AVERAGEIFS(Data!$Y$2:$Y$151,Data!$B$2:$B$151,$A9)</f>
        <v>0.46553852158258624</v>
      </c>
      <c r="O9" s="19">
        <f>AVERAGEIFS(Data!$AI$2:$AI$151,Data!$B$2:$B$151,$A9)</f>
        <v>9.1925105269099507</v>
      </c>
      <c r="P9" s="19">
        <f>_xlfn.MAXIFS(Data!$AJ$2:$AJ$151,Data!$B$2:$B$151,$A9)</f>
        <v>14.45111518</v>
      </c>
      <c r="Q9" s="19">
        <f>AVERAGEIFS(Data!$AK$2:$AK$151,Data!$B$2:$B$151,$A9)</f>
        <v>8.0611484334199375</v>
      </c>
      <c r="R9" s="19">
        <f>_xlfn.MAXIFS(Data!$AL$2:$AL$151,Data!$B$2:$B$151,$A9)</f>
        <v>12.881256292</v>
      </c>
      <c r="S9" s="14">
        <f>AVERAGEIFS(Data!$O$2:$O$151,Data!$B$2:$B$151,$A9)</f>
        <v>30.202745333587995</v>
      </c>
      <c r="T9" s="14">
        <f>_xlfn.MAXIFS(Data!$P$2:$P$151,Data!$B$2:$B$151,$A9)</f>
        <v>56.4</v>
      </c>
      <c r="U9" s="19">
        <f>AVERAGEIFS(Data!$AO$2:$AO$151,Data!$B$2:$B$151,$A9)</f>
        <v>5.9701602493269128</v>
      </c>
      <c r="V9" s="14">
        <f>AVERAGEIFS(Data!$AQ$2:$AQ$151,Data!$B$2:$B$151,$A9)</f>
        <v>53.879028070180368</v>
      </c>
      <c r="W9" s="20">
        <f>AVERAGEIFS(Data!$AR$2:$AR$151,Data!$B$2:$B$151,$A9)</f>
        <v>5.3879028070180385E-2</v>
      </c>
      <c r="X9" s="14">
        <f>AVERAGEIFS(Data!$AS$2:$AS$151,Data!$B$2:$B$151,$A9)</f>
        <v>81.012275970122488</v>
      </c>
      <c r="Y9" s="18">
        <f>AVERAGEIFS(Data!$AV$2:$AV$151,Data!$B$2:$B$151,$A9)</f>
        <v>1.362140582408532</v>
      </c>
    </row>
    <row r="10" spans="1:25" x14ac:dyDescent="0.2">
      <c r="A10" s="21">
        <v>10240</v>
      </c>
      <c r="B10" s="13">
        <f>AVERAGEIFS(Data!$H$2:$H$151,Data!$B$2:$B$151,$A10)</f>
        <v>1261.0637522764109</v>
      </c>
      <c r="C10" s="17">
        <f>AVERAGEIFS(Data!$F$2:$F$151,Data!$B$2:$B$151,$A10)</f>
        <v>532.80606185284023</v>
      </c>
      <c r="D10" s="14">
        <f>AVERAGEIFS(Data!$G$2:$G$151,Data!$B$2:$B$151,$A10)</f>
        <v>64.729269337558819</v>
      </c>
      <c r="E10" s="13">
        <f>AVERAGEIFS(Data!$E$2:$E$151,Data!$B$2:$B$151,$A10)</f>
        <v>815.32</v>
      </c>
      <c r="F10" s="17">
        <f>AVERAGEIFS(Data!$AG$2:$AG$151,Data!$B$2:$B$151,$A10)</f>
        <v>807.72</v>
      </c>
      <c r="G10" s="14">
        <f>AVERAGEIFS(Data!$I$2:$I$151,Data!$B$2:$B$151,$A10)</f>
        <v>99.084000000000003</v>
      </c>
      <c r="H10" s="14">
        <f>AVERAGEIFS(Data!$K$2:$K$151,Data!$B$2:$B$151,$A10)</f>
        <v>304.22800000000001</v>
      </c>
      <c r="I10" s="18">
        <f>AVERAGEIFS(Data!$Q$2:$Q$151,Data!$B$2:$B$151,$A10)</f>
        <v>0.98945082664722872</v>
      </c>
      <c r="J10" s="18">
        <f>AVERAGEIFS(Data!$S$2:$S$151,Data!$B$2:$B$151,$A10)</f>
        <v>0.54902618012843529</v>
      </c>
      <c r="K10" s="18">
        <f>AVERAGEIFS(Data!$U$2:$U$151,Data!$B$2:$B$151,$A10)</f>
        <v>3.8857204665357505E-2</v>
      </c>
      <c r="L10" s="18">
        <f>AVERAGEIFS(Data!$W$2:$W$151,Data!$B$2:$B$151,$A10)</f>
        <v>0.1496895161653275</v>
      </c>
      <c r="M10" s="18">
        <f>_xlfn.MAXIFS(Data!$X$2:$X$151,Data!$B$2:$B$151,$A10)</f>
        <v>0.245</v>
      </c>
      <c r="N10" s="18">
        <f>AVERAGEIFS(Data!$Y$2:$Y$151,Data!$B$2:$B$151,$A10)</f>
        <v>0.55460388459184073</v>
      </c>
      <c r="O10" s="19">
        <f>AVERAGEIFS(Data!$AI$2:$AI$151,Data!$B$2:$B$151,$A10)</f>
        <v>7.7047758507517292</v>
      </c>
      <c r="P10" s="19">
        <f>_xlfn.MAXIFS(Data!$AJ$2:$AJ$151,Data!$B$2:$B$151,$A10)</f>
        <v>31.174142949</v>
      </c>
      <c r="Q10" s="19">
        <f>AVERAGEIFS(Data!$AK$2:$AK$151,Data!$B$2:$B$151,$A10)</f>
        <v>6.7565060160602863</v>
      </c>
      <c r="R10" s="19">
        <f>_xlfn.MAXIFS(Data!$AL$2:$AL$151,Data!$B$2:$B$151,$A10)</f>
        <v>27.279863682999999</v>
      </c>
      <c r="S10" s="14">
        <f>AVERAGEIFS(Data!$O$2:$O$151,Data!$B$2:$B$151,$A10)</f>
        <v>58.631426235106517</v>
      </c>
      <c r="T10" s="14">
        <f>_xlfn.MAXIFS(Data!$P$2:$P$151,Data!$B$2:$B$151,$A10)</f>
        <v>100</v>
      </c>
      <c r="U10" s="19">
        <f>AVERAGEIFS(Data!$AO$2:$AO$151,Data!$B$2:$B$151,$A10)</f>
        <v>6.1114664920666737</v>
      </c>
      <c r="V10" s="14">
        <f>AVERAGEIFS(Data!$AQ$2:$AQ$151,Data!$B$2:$B$151,$A10)</f>
        <v>44.137231329674378</v>
      </c>
      <c r="W10" s="20">
        <f>AVERAGEIFS(Data!$AR$2:$AR$151,Data!$B$2:$B$151,$A10)</f>
        <v>4.4137231329674377E-2</v>
      </c>
      <c r="X10" s="14">
        <f>AVERAGEIFS(Data!$AS$2:$AS$151,Data!$B$2:$B$151,$A10)</f>
        <v>81.572577858855539</v>
      </c>
      <c r="Y10" s="18">
        <f>AVERAGEIFS(Data!$AV$2:$AV$151,Data!$B$2:$B$151,$A10)</f>
        <v>1.0366428002913219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25" width="14" customWidth="1"/>
  </cols>
  <sheetData>
    <row r="1" spans="1:25" ht="18" x14ac:dyDescent="0.2">
      <c r="A1" s="2" t="s">
        <v>165</v>
      </c>
    </row>
    <row r="2" spans="1:25" x14ac:dyDescent="0.2">
      <c r="A2" s="4" t="s">
        <v>166</v>
      </c>
    </row>
    <row r="4" spans="1:25" ht="57.75" customHeight="1" x14ac:dyDescent="0.2">
      <c r="A4" s="5" t="s">
        <v>90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  <c r="I4" s="5" t="s">
        <v>148</v>
      </c>
      <c r="J4" s="5" t="s">
        <v>149</v>
      </c>
      <c r="K4" s="5" t="s">
        <v>150</v>
      </c>
      <c r="L4" s="5" t="s">
        <v>151</v>
      </c>
      <c r="M4" s="5" t="s">
        <v>152</v>
      </c>
      <c r="N4" s="5" t="s">
        <v>153</v>
      </c>
      <c r="O4" s="5" t="s">
        <v>154</v>
      </c>
      <c r="P4" s="5" t="s">
        <v>155</v>
      </c>
      <c r="Q4" s="5" t="s">
        <v>156</v>
      </c>
      <c r="R4" s="5" t="s">
        <v>157</v>
      </c>
      <c r="S4" s="5" t="s">
        <v>158</v>
      </c>
      <c r="T4" s="5" t="s">
        <v>159</v>
      </c>
      <c r="U4" s="5" t="s">
        <v>160</v>
      </c>
      <c r="V4" s="5" t="s">
        <v>161</v>
      </c>
      <c r="W4" s="5" t="s">
        <v>162</v>
      </c>
      <c r="X4" s="5" t="s">
        <v>163</v>
      </c>
      <c r="Y4" s="5" t="s">
        <v>164</v>
      </c>
    </row>
    <row r="5" spans="1:25" x14ac:dyDescent="0.2">
      <c r="A5" s="21">
        <v>128</v>
      </c>
      <c r="B5" s="13">
        <f>AVERAGEIFS(Data!$H$2:$H$151,Data!$A$2:$A$151,$A5)</f>
        <v>1569.035032849137</v>
      </c>
      <c r="C5" s="17">
        <f>AVERAGEIFS(Data!$F$2:$F$151,Data!$A$2:$A$151,$A5)</f>
        <v>99.30198295323261</v>
      </c>
      <c r="D5" s="14">
        <f>AVERAGEIFS(Data!$G$2:$G$151,Data!$A$2:$A$151,$A5)</f>
        <v>45.44031981787488</v>
      </c>
      <c r="E5" s="13">
        <f>AVERAGEIFS(Data!$E$2:$E$151,Data!$A$2:$A$151,$A5)</f>
        <v>226.76666666666668</v>
      </c>
      <c r="F5" s="17">
        <f>AVERAGEIFS(Data!$AG$2:$AG$151,Data!$A$2:$A$151,$A5)</f>
        <v>219.16666666666666</v>
      </c>
      <c r="G5" s="14">
        <f>AVERAGEIFS(Data!$I$2:$I$151,Data!$A$2:$A$151,$A5)</f>
        <v>88.33666666666663</v>
      </c>
      <c r="H5" s="14">
        <f>AVERAGEIFS(Data!$K$2:$K$151,Data!$A$2:$A$151,$A5)</f>
        <v>252.28666666666658</v>
      </c>
      <c r="I5" s="18">
        <f>AVERAGEIFS(Data!$Q$2:$Q$151,Data!$A$2:$A$151,$A5)</f>
        <v>0.89240355054262133</v>
      </c>
      <c r="J5" s="18">
        <f>AVERAGEIFS(Data!$S$2:$S$151,Data!$A$2:$A$151,$A5)</f>
        <v>0.3692861255362242</v>
      </c>
      <c r="K5" s="18">
        <f>AVERAGEIFS(Data!$U$2:$U$151,Data!$A$2:$A$151,$A5)</f>
        <v>2.916783447746352E-2</v>
      </c>
      <c r="L5" s="18">
        <f>AVERAGEIFS(Data!$W$2:$W$151,Data!$A$2:$A$151,$A5)</f>
        <v>0.11423547987592844</v>
      </c>
      <c r="M5" s="18">
        <f>_xlfn.MAXIFS(Data!$X$2:$X$151,Data!$A$2:$A$151,$A5)</f>
        <v>0.18</v>
      </c>
      <c r="N5" s="18">
        <f>AVERAGEIFS(Data!$Y$2:$Y$151,Data!$A$2:$A$151,$A5)</f>
        <v>0.37547361370949073</v>
      </c>
      <c r="O5" s="19">
        <f>AVERAGEIFS(Data!$AI$2:$AI$151,Data!$A$2:$A$151,$A5)</f>
        <v>9.2419067890938091</v>
      </c>
      <c r="P5" s="19">
        <f>_xlfn.MAXIFS(Data!$AJ$2:$AJ$151,Data!$A$2:$A$151,$A5)</f>
        <v>17.484962118999999</v>
      </c>
      <c r="Q5" s="19">
        <f>AVERAGEIFS(Data!$AK$2:$AK$151,Data!$A$2:$A$151,$A5)</f>
        <v>8.1202126288034275</v>
      </c>
      <c r="R5" s="19">
        <f>_xlfn.MAXIFS(Data!$AL$2:$AL$151,Data!$A$2:$A$151,$A5)</f>
        <v>15.313969055999999</v>
      </c>
      <c r="S5" s="14">
        <f>AVERAGEIFS(Data!$O$2:$O$151,Data!$A$2:$A$151,$A5)</f>
        <v>17.033120047462052</v>
      </c>
      <c r="T5" s="14">
        <f>_xlfn.MAXIFS(Data!$P$2:$P$151,Data!$A$2:$A$151,$A5)</f>
        <v>89.1</v>
      </c>
      <c r="U5" s="19">
        <f>AVERAGEIFS(Data!$AO$2:$AO$151,Data!$A$2:$A$151,$A5)</f>
        <v>6.145427613544161</v>
      </c>
      <c r="V5" s="14">
        <f>AVERAGEIFS(Data!$AQ$2:$AQ$151,Data!$A$2:$A$151,$A5)</f>
        <v>54.91622614971979</v>
      </c>
      <c r="W5" s="20">
        <f>AVERAGEIFS(Data!$AR$2:$AR$151,Data!$A$2:$A$151,$A5)</f>
        <v>5.4916226149719784E-2</v>
      </c>
      <c r="X5" s="14">
        <f>AVERAGEIFS(Data!$AS$2:$AS$151,Data!$A$2:$A$151,$A5)</f>
        <v>71.118548560275499</v>
      </c>
      <c r="Y5" s="18">
        <f>AVERAGEIFS(Data!$AV$2:$AV$151,Data!$A$2:$A$151,$A5)</f>
        <v>1.5931917675267371</v>
      </c>
    </row>
    <row r="6" spans="1:25" x14ac:dyDescent="0.2">
      <c r="A6" s="21">
        <v>256</v>
      </c>
      <c r="B6" s="13">
        <f>AVERAGEIFS(Data!$H$2:$H$151,Data!$A$2:$A$151,$A6)</f>
        <v>1549.0025315896178</v>
      </c>
      <c r="C6" s="17">
        <f>AVERAGEIFS(Data!$F$2:$F$151,Data!$A$2:$A$151,$A6)</f>
        <v>115.139284616278</v>
      </c>
      <c r="D6" s="14">
        <f>AVERAGEIFS(Data!$G$2:$G$151,Data!$A$2:$A$151,$A6)</f>
        <v>46.161028136308367</v>
      </c>
      <c r="E6" s="13">
        <f>AVERAGEIFS(Data!$E$2:$E$151,Data!$A$2:$A$151,$A6)</f>
        <v>229.63333333333333</v>
      </c>
      <c r="F6" s="17">
        <f>AVERAGEIFS(Data!$AG$2:$AG$151,Data!$A$2:$A$151,$A6)</f>
        <v>222.03333333333333</v>
      </c>
      <c r="G6" s="14">
        <f>AVERAGEIFS(Data!$I$2:$I$151,Data!$A$2:$A$151,$A6)</f>
        <v>87.91</v>
      </c>
      <c r="H6" s="14">
        <f>AVERAGEIFS(Data!$K$2:$K$151,Data!$A$2:$A$151,$A6)</f>
        <v>253.39666666666668</v>
      </c>
      <c r="I6" s="18">
        <f>AVERAGEIFS(Data!$Q$2:$Q$151,Data!$A$2:$A$151,$A6)</f>
        <v>0.88688756376289601</v>
      </c>
      <c r="J6" s="18">
        <f>AVERAGEIFS(Data!$S$2:$S$151,Data!$A$2:$A$151,$A6)</f>
        <v>0.3731306431852483</v>
      </c>
      <c r="K6" s="18">
        <f>AVERAGEIFS(Data!$U$2:$U$151,Data!$A$2:$A$151,$A6)</f>
        <v>2.9184048852938536E-2</v>
      </c>
      <c r="L6" s="18">
        <f>AVERAGEIFS(Data!$W$2:$W$151,Data!$A$2:$A$151,$A6)</f>
        <v>0.11437380543128242</v>
      </c>
      <c r="M6" s="18">
        <f>_xlfn.MAXIFS(Data!$X$2:$X$151,Data!$A$2:$A$151,$A6)</f>
        <v>0.224</v>
      </c>
      <c r="N6" s="18">
        <f>AVERAGEIFS(Data!$Y$2:$Y$151,Data!$A$2:$A$151,$A6)</f>
        <v>0.37528254922140475</v>
      </c>
      <c r="O6" s="19">
        <f>AVERAGEIFS(Data!$AI$2:$AI$151,Data!$A$2:$A$151,$A6)</f>
        <v>9.0861702822661687</v>
      </c>
      <c r="P6" s="19">
        <f>_xlfn.MAXIFS(Data!$AJ$2:$AJ$151,Data!$A$2:$A$151,$A6)</f>
        <v>22.219694904000001</v>
      </c>
      <c r="Q6" s="19">
        <f>AVERAGEIFS(Data!$AK$2:$AK$151,Data!$A$2:$A$151,$A6)</f>
        <v>7.9843372602154892</v>
      </c>
      <c r="R6" s="19">
        <f>_xlfn.MAXIFS(Data!$AL$2:$AL$151,Data!$A$2:$A$151,$A6)</f>
        <v>19.476237524999998</v>
      </c>
      <c r="S6" s="14">
        <f>AVERAGEIFS(Data!$O$2:$O$151,Data!$A$2:$A$151,$A6)</f>
        <v>18.125028400983698</v>
      </c>
      <c r="T6" s="14">
        <f>_xlfn.MAXIFS(Data!$P$2:$P$151,Data!$A$2:$A$151,$A6)</f>
        <v>90.8</v>
      </c>
      <c r="U6" s="19">
        <f>AVERAGEIFS(Data!$AO$2:$AO$151,Data!$A$2:$A$151,$A6)</f>
        <v>6.1474082739897948</v>
      </c>
      <c r="V6" s="14">
        <f>AVERAGEIFS(Data!$AQ$2:$AQ$151,Data!$A$2:$A$151,$A6)</f>
        <v>54.215088605636637</v>
      </c>
      <c r="W6" s="20">
        <f>AVERAGEIFS(Data!$AR$2:$AR$151,Data!$A$2:$A$151,$A6)</f>
        <v>5.421508860563664E-2</v>
      </c>
      <c r="X6" s="14">
        <f>AVERAGEIFS(Data!$AS$2:$AS$151,Data!$A$2:$A$151,$A6)</f>
        <v>71.351938897244878</v>
      </c>
      <c r="Y6" s="18">
        <f>AVERAGEIFS(Data!$AV$2:$AV$151,Data!$A$2:$A$151,$A6)</f>
        <v>1.5672095858781241</v>
      </c>
    </row>
    <row r="7" spans="1:25" x14ac:dyDescent="0.2">
      <c r="A7" s="21">
        <v>384</v>
      </c>
      <c r="B7" s="13">
        <f>AVERAGEIFS(Data!$H$2:$H$151,Data!$A$2:$A$151,$A7)</f>
        <v>1530.7337095782104</v>
      </c>
      <c r="C7" s="17">
        <f>AVERAGEIFS(Data!$F$2:$F$151,Data!$A$2:$A$151,$A7)</f>
        <v>139.97264126090653</v>
      </c>
      <c r="D7" s="14">
        <f>AVERAGEIFS(Data!$G$2:$G$151,Data!$A$2:$A$151,$A7)</f>
        <v>46.858273252369521</v>
      </c>
      <c r="E7" s="13">
        <f>AVERAGEIFS(Data!$E$2:$E$151,Data!$A$2:$A$151,$A7)</f>
        <v>231.73333333333332</v>
      </c>
      <c r="F7" s="17">
        <f>AVERAGEIFS(Data!$AG$2:$AG$151,Data!$A$2:$A$151,$A7)</f>
        <v>224.13333333333333</v>
      </c>
      <c r="G7" s="14">
        <f>AVERAGEIFS(Data!$I$2:$I$151,Data!$A$2:$A$151,$A7)</f>
        <v>88.029999999999973</v>
      </c>
      <c r="H7" s="14">
        <f>AVERAGEIFS(Data!$K$2:$K$151,Data!$A$2:$A$151,$A7)</f>
        <v>254.78333333333339</v>
      </c>
      <c r="I7" s="18">
        <f>AVERAGEIFS(Data!$Q$2:$Q$151,Data!$A$2:$A$151,$A7)</f>
        <v>0.88914250179275056</v>
      </c>
      <c r="J7" s="18">
        <f>AVERAGEIFS(Data!$S$2:$S$151,Data!$A$2:$A$151,$A7)</f>
        <v>0.38026816435385602</v>
      </c>
      <c r="K7" s="18">
        <f>AVERAGEIFS(Data!$U$2:$U$151,Data!$A$2:$A$151,$A7)</f>
        <v>2.96588761237278E-2</v>
      </c>
      <c r="L7" s="18">
        <f>AVERAGEIFS(Data!$W$2:$W$151,Data!$A$2:$A$151,$A7)</f>
        <v>0.11590727242983653</v>
      </c>
      <c r="M7" s="18">
        <f>_xlfn.MAXIFS(Data!$X$2:$X$151,Data!$A$2:$A$151,$A7)</f>
        <v>0.24399999999999999</v>
      </c>
      <c r="N7" s="18">
        <f>AVERAGEIFS(Data!$Y$2:$Y$151,Data!$A$2:$A$151,$A7)</f>
        <v>0.38263326405202325</v>
      </c>
      <c r="O7" s="19">
        <f>AVERAGEIFS(Data!$AI$2:$AI$151,Data!$A$2:$A$151,$A7)</f>
        <v>9.0377345183509394</v>
      </c>
      <c r="P7" s="19">
        <f>_xlfn.MAXIFS(Data!$AJ$2:$AJ$151,Data!$A$2:$A$151,$A7)</f>
        <v>28.580552532999999</v>
      </c>
      <c r="Q7" s="19">
        <f>AVERAGEIFS(Data!$AK$2:$AK$151,Data!$A$2:$A$151,$A7)</f>
        <v>7.9426903858106987</v>
      </c>
      <c r="R7" s="19">
        <f>_xlfn.MAXIFS(Data!$AL$2:$AL$151,Data!$A$2:$A$151,$A7)</f>
        <v>25.012029465000001</v>
      </c>
      <c r="S7" s="14">
        <f>AVERAGEIFS(Data!$O$2:$O$151,Data!$A$2:$A$151,$A7)</f>
        <v>19.095650930012866</v>
      </c>
      <c r="T7" s="14">
        <f>_xlfn.MAXIFS(Data!$P$2:$P$151,Data!$A$2:$A$151,$A7)</f>
        <v>92</v>
      </c>
      <c r="U7" s="19">
        <f>AVERAGEIFS(Data!$AO$2:$AO$151,Data!$A$2:$A$151,$A7)</f>
        <v>6.1768663241054558</v>
      </c>
      <c r="V7" s="14">
        <f>AVERAGEIFS(Data!$AQ$2:$AQ$151,Data!$A$2:$A$151,$A7)</f>
        <v>53.575679835237352</v>
      </c>
      <c r="W7" s="20">
        <f>AVERAGEIFS(Data!$AR$2:$AR$151,Data!$A$2:$A$151,$A7)</f>
        <v>5.3575679835237339E-2</v>
      </c>
      <c r="X7" s="14">
        <f>AVERAGEIFS(Data!$AS$2:$AS$151,Data!$A$2:$A$151,$A7)</f>
        <v>71.592025571049177</v>
      </c>
      <c r="Y7" s="18">
        <f>AVERAGEIFS(Data!$AV$2:$AV$151,Data!$A$2:$A$151,$A7)</f>
        <v>1.5361433763167722</v>
      </c>
    </row>
    <row r="8" spans="1:25" x14ac:dyDescent="0.2">
      <c r="A8" s="21">
        <v>512</v>
      </c>
      <c r="B8" s="13">
        <f>AVERAGEIFS(Data!$H$2:$H$151,Data!$A$2:$A$151,$A8)</f>
        <v>1512.0924767005085</v>
      </c>
      <c r="C8" s="17">
        <f>AVERAGEIFS(Data!$F$2:$F$151,Data!$A$2:$A$151,$A8)</f>
        <v>173.38467129884546</v>
      </c>
      <c r="D8" s="14">
        <f>AVERAGEIFS(Data!$G$2:$G$151,Data!$A$2:$A$151,$A8)</f>
        <v>47.590116023938876</v>
      </c>
      <c r="E8" s="13">
        <f>AVERAGEIFS(Data!$E$2:$E$151,Data!$A$2:$A$151,$A8)</f>
        <v>234.3</v>
      </c>
      <c r="F8" s="17">
        <f>AVERAGEIFS(Data!$AG$2:$AG$151,Data!$A$2:$A$151,$A8)</f>
        <v>226.7</v>
      </c>
      <c r="G8" s="14">
        <f>AVERAGEIFS(Data!$I$2:$I$151,Data!$A$2:$A$151,$A8)</f>
        <v>88.536666666666633</v>
      </c>
      <c r="H8" s="14">
        <f>AVERAGEIFS(Data!$K$2:$K$151,Data!$A$2:$A$151,$A8)</f>
        <v>256.30333333333334</v>
      </c>
      <c r="I8" s="18">
        <f>AVERAGEIFS(Data!$Q$2:$Q$151,Data!$A$2:$A$151,$A8)</f>
        <v>0.89312010120714891</v>
      </c>
      <c r="J8" s="18">
        <f>AVERAGEIFS(Data!$S$2:$S$151,Data!$A$2:$A$151,$A8)</f>
        <v>0.38631756534766842</v>
      </c>
      <c r="K8" s="18">
        <f>AVERAGEIFS(Data!$U$2:$U$151,Data!$A$2:$A$151,$A8)</f>
        <v>2.9959690211384275E-2</v>
      </c>
      <c r="L8" s="18">
        <f>AVERAGEIFS(Data!$W$2:$W$151,Data!$A$2:$A$151,$A8)</f>
        <v>0.11732554707478987</v>
      </c>
      <c r="M8" s="18">
        <f>_xlfn.MAXIFS(Data!$X$2:$X$151,Data!$A$2:$A$151,$A8)</f>
        <v>0.23799999999999999</v>
      </c>
      <c r="N8" s="18">
        <f>AVERAGEIFS(Data!$Y$2:$Y$151,Data!$A$2:$A$151,$A8)</f>
        <v>0.38702865570959993</v>
      </c>
      <c r="O8" s="19">
        <f>AVERAGEIFS(Data!$AI$2:$AI$151,Data!$A$2:$A$151,$A8)</f>
        <v>8.9420393643792124</v>
      </c>
      <c r="P8" s="19">
        <f>_xlfn.MAXIFS(Data!$AJ$2:$AJ$151,Data!$A$2:$A$151,$A8)</f>
        <v>30.127833019000001</v>
      </c>
      <c r="Q8" s="19">
        <f>AVERAGEIFS(Data!$AK$2:$AK$151,Data!$A$2:$A$151,$A8)</f>
        <v>7.8591048176077685</v>
      </c>
      <c r="R8" s="19">
        <f>_xlfn.MAXIFS(Data!$AL$2:$AL$151,Data!$A$2:$A$151,$A8)</f>
        <v>26.365586501999999</v>
      </c>
      <c r="S8" s="14">
        <f>AVERAGEIFS(Data!$O$2:$O$151,Data!$A$2:$A$151,$A8)</f>
        <v>19.93928084546598</v>
      </c>
      <c r="T8" s="14">
        <f>_xlfn.MAXIFS(Data!$P$2:$P$151,Data!$A$2:$A$151,$A8)</f>
        <v>93.9</v>
      </c>
      <c r="U8" s="19">
        <f>AVERAGEIFS(Data!$AO$2:$AO$151,Data!$A$2:$A$151,$A8)</f>
        <v>6.1829712281692606</v>
      </c>
      <c r="V8" s="14">
        <f>AVERAGEIFS(Data!$AQ$2:$AQ$151,Data!$A$2:$A$151,$A8)</f>
        <v>52.923236684517796</v>
      </c>
      <c r="W8" s="20">
        <f>AVERAGEIFS(Data!$AR$2:$AR$151,Data!$A$2:$A$151,$A8)</f>
        <v>5.2923236684517795E-2</v>
      </c>
      <c r="X8" s="14">
        <f>AVERAGEIFS(Data!$AS$2:$AS$151,Data!$A$2:$A$151,$A8)</f>
        <v>71.85161595132486</v>
      </c>
      <c r="Y8" s="18">
        <f>AVERAGEIFS(Data!$AV$2:$AV$151,Data!$A$2:$A$151,$A8)</f>
        <v>1.5072406441554509</v>
      </c>
    </row>
    <row r="9" spans="1:25" x14ac:dyDescent="0.2">
      <c r="A9" s="21">
        <v>1024</v>
      </c>
      <c r="B9" s="13">
        <f>AVERAGEIFS(Data!$H$2:$H$151,Data!$A$2:$A$151,$A9)</f>
        <v>1441.7007234233481</v>
      </c>
      <c r="C9" s="17">
        <f>AVERAGEIFS(Data!$F$2:$F$151,Data!$A$2:$A$151,$A9)</f>
        <v>348.4860637901196</v>
      </c>
      <c r="D9" s="14">
        <f>AVERAGEIFS(Data!$G$2:$G$151,Data!$A$2:$A$151,$A9)</f>
        <v>51.172653867530549</v>
      </c>
      <c r="E9" s="13">
        <f>AVERAGEIFS(Data!$E$2:$E$151,Data!$A$2:$A$151,$A9)</f>
        <v>246.83333333333334</v>
      </c>
      <c r="F9" s="17">
        <f>AVERAGEIFS(Data!$AG$2:$AG$151,Data!$A$2:$A$151,$A9)</f>
        <v>239.23333333333332</v>
      </c>
      <c r="G9" s="14">
        <f>AVERAGEIFS(Data!$I$2:$I$151,Data!$A$2:$A$151,$A9)</f>
        <v>88.273333333333326</v>
      </c>
      <c r="H9" s="14">
        <f>AVERAGEIFS(Data!$K$2:$K$151,Data!$A$2:$A$151,$A9)</f>
        <v>260.33000000000004</v>
      </c>
      <c r="I9" s="18">
        <f>AVERAGEIFS(Data!$Q$2:$Q$151,Data!$A$2:$A$151,$A9)</f>
        <v>0.88685573299035203</v>
      </c>
      <c r="J9" s="18">
        <f>AVERAGEIFS(Data!$S$2:$S$151,Data!$A$2:$A$151,$A9)</f>
        <v>0.40202480402828655</v>
      </c>
      <c r="K9" s="18">
        <f>AVERAGEIFS(Data!$U$2:$U$151,Data!$A$2:$A$151,$A9)</f>
        <v>3.0834882323059663E-2</v>
      </c>
      <c r="L9" s="18">
        <f>AVERAGEIFS(Data!$W$2:$W$151,Data!$A$2:$A$151,$A9)</f>
        <v>0.12244350659352804</v>
      </c>
      <c r="M9" s="18">
        <f>_xlfn.MAXIFS(Data!$X$2:$X$151,Data!$A$2:$A$151,$A9)</f>
        <v>0.245</v>
      </c>
      <c r="N9" s="18">
        <f>AVERAGEIFS(Data!$Y$2:$Y$151,Data!$A$2:$A$151,$A9)</f>
        <v>0.39776072329202322</v>
      </c>
      <c r="O9" s="19">
        <f>AVERAGEIFS(Data!$AI$2:$AI$151,Data!$A$2:$A$151,$A9)</f>
        <v>8.7308449325882087</v>
      </c>
      <c r="P9" s="19">
        <f>_xlfn.MAXIFS(Data!$AJ$2:$AJ$151,Data!$A$2:$A$151,$A9)</f>
        <v>31.174142949</v>
      </c>
      <c r="Q9" s="19">
        <f>AVERAGEIFS(Data!$AK$2:$AK$151,Data!$A$2:$A$151,$A9)</f>
        <v>7.6722327278097033</v>
      </c>
      <c r="R9" s="19">
        <f>_xlfn.MAXIFS(Data!$AL$2:$AL$151,Data!$A$2:$A$151,$A9)</f>
        <v>27.279863682999999</v>
      </c>
      <c r="S9" s="14">
        <f>AVERAGEIFS(Data!$O$2:$O$151,Data!$A$2:$A$151,$A9)</f>
        <v>24.05670982513459</v>
      </c>
      <c r="T9" s="14">
        <f>_xlfn.MAXIFS(Data!$P$2:$P$151,Data!$A$2:$A$151,$A9)</f>
        <v>100</v>
      </c>
      <c r="U9" s="19">
        <f>AVERAGEIFS(Data!$AO$2:$AO$151,Data!$A$2:$A$151,$A9)</f>
        <v>6.5611459012451032</v>
      </c>
      <c r="V9" s="14">
        <f>AVERAGEIFS(Data!$AQ$2:$AQ$151,Data!$A$2:$A$151,$A9)</f>
        <v>50.459525319817189</v>
      </c>
      <c r="W9" s="20">
        <f>AVERAGEIFS(Data!$AR$2:$AR$151,Data!$A$2:$A$151,$A9)</f>
        <v>5.0459525319817199E-2</v>
      </c>
      <c r="X9" s="14">
        <f>AVERAGEIFS(Data!$AS$2:$AS$151,Data!$A$2:$A$151,$A9)</f>
        <v>73.137184135605736</v>
      </c>
      <c r="Y9" s="18">
        <f>AVERAGEIFS(Data!$AV$2:$AV$151,Data!$A$2:$A$151,$A9)</f>
        <v>1.412228411086494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25" width="14" customWidth="1"/>
  </cols>
  <sheetData>
    <row r="1" spans="1:25" ht="18" x14ac:dyDescent="0.2">
      <c r="A1" s="2" t="s">
        <v>167</v>
      </c>
    </row>
    <row r="2" spans="1:25" x14ac:dyDescent="0.2">
      <c r="A2" s="4" t="s">
        <v>168</v>
      </c>
    </row>
    <row r="4" spans="1:25" ht="57.75" customHeight="1" x14ac:dyDescent="0.2">
      <c r="A4" s="5" t="s">
        <v>92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  <c r="I4" s="5" t="s">
        <v>148</v>
      </c>
      <c r="J4" s="5" t="s">
        <v>149</v>
      </c>
      <c r="K4" s="5" t="s">
        <v>150</v>
      </c>
      <c r="L4" s="5" t="s">
        <v>151</v>
      </c>
      <c r="M4" s="5" t="s">
        <v>152</v>
      </c>
      <c r="N4" s="5" t="s">
        <v>153</v>
      </c>
      <c r="O4" s="5" t="s">
        <v>154</v>
      </c>
      <c r="P4" s="5" t="s">
        <v>155</v>
      </c>
      <c r="Q4" s="5" t="s">
        <v>156</v>
      </c>
      <c r="R4" s="5" t="s">
        <v>157</v>
      </c>
      <c r="S4" s="5" t="s">
        <v>158</v>
      </c>
      <c r="T4" s="5" t="s">
        <v>159</v>
      </c>
      <c r="U4" s="5" t="s">
        <v>160</v>
      </c>
      <c r="V4" s="5" t="s">
        <v>161</v>
      </c>
      <c r="W4" s="5" t="s">
        <v>162</v>
      </c>
      <c r="X4" s="5" t="s">
        <v>163</v>
      </c>
      <c r="Y4" s="5" t="s">
        <v>164</v>
      </c>
    </row>
    <row r="5" spans="1:25" x14ac:dyDescent="0.2">
      <c r="A5" s="21">
        <v>5</v>
      </c>
      <c r="B5" s="13">
        <f>AVERAGEIFS(Data!$H$2:$H$151,Data!$C$2:$C$151,$A5)</f>
        <v>1273.5827145156616</v>
      </c>
      <c r="C5" s="17">
        <f>AVERAGEIFS(Data!$F$2:$F$151,Data!$C$2:$C$151,$A5)</f>
        <v>129.01384594559201</v>
      </c>
      <c r="D5" s="14">
        <f>AVERAGEIFS(Data!$G$2:$G$151,Data!$C$2:$C$151,$A5)</f>
        <v>45.873097198907075</v>
      </c>
      <c r="E5" s="13">
        <f>AVERAGEIFS(Data!$E$2:$E$151,Data!$C$2:$C$151,$A5)</f>
        <v>241.86666666666667</v>
      </c>
      <c r="F5" s="17">
        <f>AVERAGEIFS(Data!$AG$2:$AG$151,Data!$C$2:$C$151,$A5)</f>
        <v>221.86666666666667</v>
      </c>
      <c r="G5" s="14">
        <f>AVERAGEIFS(Data!$I$2:$I$151,Data!$C$2:$C$151,$A5)</f>
        <v>91.36666666666666</v>
      </c>
      <c r="H5" s="14">
        <f>AVERAGEIFS(Data!$K$2:$K$151,Data!$C$2:$C$151,$A5)</f>
        <v>262.56</v>
      </c>
      <c r="I5" s="18">
        <f>AVERAGEIFS(Data!$Q$2:$Q$151,Data!$C$2:$C$151,$A5)</f>
        <v>0.92050268205951336</v>
      </c>
      <c r="J5" s="18">
        <f>AVERAGEIFS(Data!$S$2:$S$151,Data!$C$2:$C$151,$A5)</f>
        <v>0.4107086107025818</v>
      </c>
      <c r="K5" s="18">
        <f>AVERAGEIFS(Data!$U$2:$U$151,Data!$C$2:$C$151,$A5)</f>
        <v>3.3079379483099663E-2</v>
      </c>
      <c r="L5" s="18">
        <f>AVERAGEIFS(Data!$W$2:$W$151,Data!$C$2:$C$151,$A5)</f>
        <v>0.11798822126989526</v>
      </c>
      <c r="M5" s="18">
        <f>_xlfn.MAXIFS(Data!$X$2:$X$151,Data!$C$2:$C$151,$A5)</f>
        <v>0.24399999999999999</v>
      </c>
      <c r="N5" s="18">
        <f>AVERAGEIFS(Data!$Y$2:$Y$151,Data!$C$2:$C$151,$A5)</f>
        <v>0.40445353757198088</v>
      </c>
      <c r="O5" s="19">
        <f>AVERAGEIFS(Data!$AI$2:$AI$151,Data!$C$2:$C$151,$A5)</f>
        <v>9.1693318440758826</v>
      </c>
      <c r="P5" s="19">
        <f>_xlfn.MAXIFS(Data!$AJ$2:$AJ$151,Data!$C$2:$C$151,$A5)</f>
        <v>26.610549407000001</v>
      </c>
      <c r="Q5" s="19">
        <f>AVERAGEIFS(Data!$AK$2:$AK$151,Data!$C$2:$C$151,$A5)</f>
        <v>8.0757042964668067</v>
      </c>
      <c r="R5" s="19">
        <f>_xlfn.MAXIFS(Data!$AL$2:$AL$151,Data!$C$2:$C$151,$A5)</f>
        <v>23.303594307000001</v>
      </c>
      <c r="S5" s="14">
        <f>AVERAGEIFS(Data!$O$2:$O$151,Data!$C$2:$C$151,$A5)</f>
        <v>18.683687255274517</v>
      </c>
      <c r="T5" s="14">
        <f>_xlfn.MAXIFS(Data!$P$2:$P$151,Data!$C$2:$C$151,$A5)</f>
        <v>99.6</v>
      </c>
      <c r="U5" s="19">
        <f>AVERAGEIFS(Data!$AO$2:$AO$151,Data!$C$2:$C$151,$A5)</f>
        <v>8.2148411465493556</v>
      </c>
      <c r="V5" s="14">
        <f>AVERAGEIFS(Data!$AQ$2:$AQ$151,Data!$C$2:$C$151,$A5)</f>
        <v>44.575395008048147</v>
      </c>
      <c r="W5" s="20">
        <f>AVERAGEIFS(Data!$AR$2:$AR$151,Data!$C$2:$C$151,$A5)</f>
        <v>4.4575395008048149E-2</v>
      </c>
      <c r="X5" s="14">
        <f>AVERAGEIFS(Data!$AS$2:$AS$151,Data!$C$2:$C$151,$A5)</f>
        <v>59.910186656385164</v>
      </c>
      <c r="Y5" s="18">
        <f>AVERAGEIFS(Data!$AV$2:$AV$151,Data!$C$2:$C$151,$A5)</f>
        <v>1.2045465544919827</v>
      </c>
    </row>
    <row r="6" spans="1:25" x14ac:dyDescent="0.2">
      <c r="A6" s="21">
        <v>10</v>
      </c>
      <c r="B6" s="13">
        <f>AVERAGEIFS(Data!$H$2:$H$151,Data!$C$2:$C$151,$A6)</f>
        <v>1433.105978174164</v>
      </c>
      <c r="C6" s="17">
        <f>AVERAGEIFS(Data!$F$2:$F$151,Data!$C$2:$C$151,$A6)</f>
        <v>108.59340820847629</v>
      </c>
      <c r="D6" s="14">
        <f>AVERAGEIFS(Data!$G$2:$G$151,Data!$C$2:$C$151,$A6)</f>
        <v>46.721866427578945</v>
      </c>
      <c r="E6" s="13">
        <f>AVERAGEIFS(Data!$E$2:$E$151,Data!$C$2:$C$151,$A6)</f>
        <v>234.53333333333333</v>
      </c>
      <c r="F6" s="17">
        <f>AVERAGEIFS(Data!$AG$2:$AG$151,Data!$C$2:$C$151,$A6)</f>
        <v>224.53333333333333</v>
      </c>
      <c r="G6" s="14">
        <f>AVERAGEIFS(Data!$I$2:$I$151,Data!$C$2:$C$151,$A6)</f>
        <v>89.433333333333323</v>
      </c>
      <c r="H6" s="14">
        <f>AVERAGEIFS(Data!$K$2:$K$151,Data!$C$2:$C$151,$A6)</f>
        <v>256.89333333333332</v>
      </c>
      <c r="I6" s="18">
        <f>AVERAGEIFS(Data!$Q$2:$Q$151,Data!$C$2:$C$151,$A6)</f>
        <v>0.90235164897727771</v>
      </c>
      <c r="J6" s="18">
        <f>AVERAGEIFS(Data!$S$2:$S$151,Data!$C$2:$C$151,$A6)</f>
        <v>0.39366049989178442</v>
      </c>
      <c r="K6" s="18">
        <f>AVERAGEIFS(Data!$U$2:$U$151,Data!$C$2:$C$151,$A6)</f>
        <v>3.0648390032075628E-2</v>
      </c>
      <c r="L6" s="18">
        <f>AVERAGEIFS(Data!$W$2:$W$151,Data!$C$2:$C$151,$A6)</f>
        <v>0.11480808961645091</v>
      </c>
      <c r="M6" s="18">
        <f>_xlfn.MAXIFS(Data!$X$2:$X$151,Data!$C$2:$C$151,$A6)</f>
        <v>0.23599999999999999</v>
      </c>
      <c r="N6" s="18">
        <f>AVERAGEIFS(Data!$Y$2:$Y$151,Data!$C$2:$C$151,$A6)</f>
        <v>0.39376682477064667</v>
      </c>
      <c r="O6" s="19">
        <f>AVERAGEIFS(Data!$AI$2:$AI$151,Data!$C$2:$C$151,$A6)</f>
        <v>9.0056080380361241</v>
      </c>
      <c r="P6" s="19">
        <f>_xlfn.MAXIFS(Data!$AJ$2:$AJ$151,Data!$C$2:$C$151,$A6)</f>
        <v>27.297797151000001</v>
      </c>
      <c r="Q6" s="19">
        <f>AVERAGEIFS(Data!$AK$2:$AK$151,Data!$C$2:$C$151,$A6)</f>
        <v>7.9242733814683772</v>
      </c>
      <c r="R6" s="19">
        <f>_xlfn.MAXIFS(Data!$AL$2:$AL$151,Data!$C$2:$C$151,$A6)</f>
        <v>23.901145611</v>
      </c>
      <c r="S6" s="14">
        <f>AVERAGEIFS(Data!$O$2:$O$151,Data!$C$2:$C$151,$A6)</f>
        <v>19.204446998104</v>
      </c>
      <c r="T6" s="14">
        <f>_xlfn.MAXIFS(Data!$P$2:$P$151,Data!$C$2:$C$151,$A6)</f>
        <v>100</v>
      </c>
      <c r="U6" s="19">
        <f>AVERAGEIFS(Data!$AO$2:$AO$151,Data!$C$2:$C$151,$A6)</f>
        <v>6.4566316247139834</v>
      </c>
      <c r="V6" s="14">
        <f>AVERAGEIFS(Data!$AQ$2:$AQ$151,Data!$C$2:$C$151,$A6)</f>
        <v>50.158709236095753</v>
      </c>
      <c r="W6" s="20">
        <f>AVERAGEIFS(Data!$AR$2:$AR$151,Data!$C$2:$C$151,$A6)</f>
        <v>5.015870923609575E-2</v>
      </c>
      <c r="X6" s="14">
        <f>AVERAGEIFS(Data!$AS$2:$AS$151,Data!$C$2:$C$151,$A6)</f>
        <v>67.275087746993194</v>
      </c>
      <c r="Y6" s="18">
        <f>AVERAGEIFS(Data!$AV$2:$AV$151,Data!$C$2:$C$151,$A6)</f>
        <v>1.398559496939741</v>
      </c>
    </row>
    <row r="7" spans="1:25" x14ac:dyDescent="0.2">
      <c r="A7" s="21">
        <v>20</v>
      </c>
      <c r="B7" s="13">
        <f>AVERAGEIFS(Data!$H$2:$H$151,Data!$C$2:$C$151,$A7)</f>
        <v>1554.3863694702557</v>
      </c>
      <c r="C7" s="17">
        <f>AVERAGEIFS(Data!$F$2:$F$151,Data!$C$2:$C$151,$A7)</f>
        <v>137.55457341492493</v>
      </c>
      <c r="D7" s="14">
        <f>AVERAGEIFS(Data!$G$2:$G$151,Data!$C$2:$C$151,$A7)</f>
        <v>47.692419698375964</v>
      </c>
      <c r="E7" s="13">
        <f>AVERAGEIFS(Data!$E$2:$E$151,Data!$C$2:$C$151,$A7)</f>
        <v>231.76666666666668</v>
      </c>
      <c r="F7" s="17">
        <f>AVERAGEIFS(Data!$AG$2:$AG$151,Data!$C$2:$C$151,$A7)</f>
        <v>226.76666666666668</v>
      </c>
      <c r="G7" s="14">
        <f>AVERAGEIFS(Data!$I$2:$I$151,Data!$C$2:$C$151,$A7)</f>
        <v>87.139999999999972</v>
      </c>
      <c r="H7" s="14">
        <f>AVERAGEIFS(Data!$K$2:$K$151,Data!$C$2:$C$151,$A7)</f>
        <v>254.61999999999998</v>
      </c>
      <c r="I7" s="18">
        <f>AVERAGEIFS(Data!$Q$2:$Q$151,Data!$C$2:$C$151,$A7)</f>
        <v>0.88220030075455669</v>
      </c>
      <c r="J7" s="18">
        <f>AVERAGEIFS(Data!$S$2:$S$151,Data!$C$2:$C$151,$A7)</f>
        <v>0.37863691277313394</v>
      </c>
      <c r="K7" s="18">
        <f>AVERAGEIFS(Data!$U$2:$U$151,Data!$C$2:$C$151,$A7)</f>
        <v>2.9194829525675148E-2</v>
      </c>
      <c r="L7" s="18">
        <f>AVERAGEIFS(Data!$W$2:$W$151,Data!$C$2:$C$151,$A7)</f>
        <v>0.11695699596567248</v>
      </c>
      <c r="M7" s="18">
        <f>_xlfn.MAXIFS(Data!$X$2:$X$151,Data!$C$2:$C$151,$A7)</f>
        <v>0.245</v>
      </c>
      <c r="N7" s="18">
        <f>AVERAGEIFS(Data!$Y$2:$Y$151,Data!$C$2:$C$151,$A7)</f>
        <v>0.38020738690873179</v>
      </c>
      <c r="O7" s="19">
        <f>AVERAGEIFS(Data!$AI$2:$AI$151,Data!$C$2:$C$151,$A7)</f>
        <v>8.8839334829232239</v>
      </c>
      <c r="P7" s="19">
        <f>_xlfn.MAXIFS(Data!$AJ$2:$AJ$151,Data!$C$2:$C$151,$A7)</f>
        <v>30.119905202000002</v>
      </c>
      <c r="Q7" s="19">
        <f>AVERAGEIFS(Data!$AK$2:$AK$151,Data!$C$2:$C$151,$A7)</f>
        <v>7.8044965192039566</v>
      </c>
      <c r="R7" s="19">
        <f>_xlfn.MAXIFS(Data!$AL$2:$AL$151,Data!$C$2:$C$151,$A7)</f>
        <v>26.358924008999999</v>
      </c>
      <c r="S7" s="14">
        <f>AVERAGEIFS(Data!$O$2:$O$151,Data!$C$2:$C$151,$A7)</f>
        <v>19.828515733408292</v>
      </c>
      <c r="T7" s="14">
        <f>_xlfn.MAXIFS(Data!$P$2:$P$151,Data!$C$2:$C$151,$A7)</f>
        <v>99.6</v>
      </c>
      <c r="U7" s="19">
        <f>AVERAGEIFS(Data!$AO$2:$AO$151,Data!$C$2:$C$151,$A7)</f>
        <v>5.7217698810346045</v>
      </c>
      <c r="V7" s="14">
        <f>AVERAGEIFS(Data!$AQ$2:$AQ$151,Data!$C$2:$C$151,$A7)</f>
        <v>54.403522931458959</v>
      </c>
      <c r="W7" s="20">
        <f>AVERAGEIFS(Data!$AR$2:$AR$151,Data!$C$2:$C$151,$A7)</f>
        <v>5.4403522931458968E-2</v>
      </c>
      <c r="X7" s="14">
        <f>AVERAGEIFS(Data!$AS$2:$AS$151,Data!$C$2:$C$151,$A7)</f>
        <v>73.316338529656392</v>
      </c>
      <c r="Y7" s="18">
        <f>AVERAGEIFS(Data!$AV$2:$AV$151,Data!$C$2:$C$151,$A7)</f>
        <v>1.5537634773726468</v>
      </c>
    </row>
    <row r="8" spans="1:25" x14ac:dyDescent="0.2">
      <c r="A8" s="21">
        <v>50</v>
      </c>
      <c r="B8" s="13">
        <f>AVERAGEIFS(Data!$H$2:$H$151,Data!$C$2:$C$151,$A8)</f>
        <v>1650.8788352352719</v>
      </c>
      <c r="C8" s="17">
        <f>AVERAGEIFS(Data!$F$2:$F$151,Data!$C$2:$C$151,$A8)</f>
        <v>222.65491285062561</v>
      </c>
      <c r="D8" s="14">
        <f>AVERAGEIFS(Data!$G$2:$G$151,Data!$C$2:$C$151,$A8)</f>
        <v>48.398873686913063</v>
      </c>
      <c r="E8" s="13">
        <f>AVERAGEIFS(Data!$E$2:$E$151,Data!$C$2:$C$151,$A8)</f>
        <v>229.6</v>
      </c>
      <c r="F8" s="17">
        <f>AVERAGEIFS(Data!$AG$2:$AG$151,Data!$C$2:$C$151,$A8)</f>
        <v>227.6</v>
      </c>
      <c r="G8" s="14">
        <f>AVERAGEIFS(Data!$I$2:$I$151,Data!$C$2:$C$151,$A8)</f>
        <v>86.993333333333297</v>
      </c>
      <c r="H8" s="14">
        <f>AVERAGEIFS(Data!$K$2:$K$151,Data!$C$2:$C$151,$A8)</f>
        <v>253.09000000000003</v>
      </c>
      <c r="I8" s="18">
        <f>AVERAGEIFS(Data!$Q$2:$Q$151,Data!$C$2:$C$151,$A8)</f>
        <v>0.87573766009692711</v>
      </c>
      <c r="J8" s="18">
        <f>AVERAGEIFS(Data!$S$2:$S$151,Data!$C$2:$C$151,$A8)</f>
        <v>0.367359814084111</v>
      </c>
      <c r="K8" s="18">
        <f>AVERAGEIFS(Data!$U$2:$U$151,Data!$C$2:$C$151,$A8)</f>
        <v>2.820392526185065E-2</v>
      </c>
      <c r="L8" s="18">
        <f>AVERAGEIFS(Data!$W$2:$W$151,Data!$C$2:$C$151,$A8)</f>
        <v>0.11796701353324912</v>
      </c>
      <c r="M8" s="18">
        <f>_xlfn.MAXIFS(Data!$X$2:$X$151,Data!$C$2:$C$151,$A8)</f>
        <v>0.23899999999999999</v>
      </c>
      <c r="N8" s="18">
        <f>AVERAGEIFS(Data!$Y$2:$Y$151,Data!$C$2:$C$151,$A8)</f>
        <v>0.3723665822561511</v>
      </c>
      <c r="O8" s="19">
        <f>AVERAGEIFS(Data!$AI$2:$AI$151,Data!$C$2:$C$151,$A8)</f>
        <v>8.9912974000968653</v>
      </c>
      <c r="P8" s="19">
        <f>_xlfn.MAXIFS(Data!$AJ$2:$AJ$151,Data!$C$2:$C$151,$A8)</f>
        <v>31.174142949</v>
      </c>
      <c r="Q8" s="19">
        <f>AVERAGEIFS(Data!$AK$2:$AK$151,Data!$C$2:$C$151,$A8)</f>
        <v>7.8902884570339493</v>
      </c>
      <c r="R8" s="19">
        <f>_xlfn.MAXIFS(Data!$AL$2:$AL$151,Data!$C$2:$C$151,$A8)</f>
        <v>27.279863682999999</v>
      </c>
      <c r="S8" s="14">
        <f>AVERAGEIFS(Data!$O$2:$O$151,Data!$C$2:$C$151,$A8)</f>
        <v>20.250198803692683</v>
      </c>
      <c r="T8" s="14">
        <f>_xlfn.MAXIFS(Data!$P$2:$P$151,Data!$C$2:$C$151,$A8)</f>
        <v>99.8</v>
      </c>
      <c r="U8" s="19">
        <f>AVERAGEIFS(Data!$AO$2:$AO$151,Data!$C$2:$C$151,$A8)</f>
        <v>5.4639580789924826</v>
      </c>
      <c r="V8" s="14">
        <f>AVERAGEIFS(Data!$AQ$2:$AQ$151,Data!$C$2:$C$151,$A8)</f>
        <v>57.780759233234512</v>
      </c>
      <c r="W8" s="20">
        <f>AVERAGEIFS(Data!$AR$2:$AR$151,Data!$C$2:$C$151,$A8)</f>
        <v>5.778075923323453E-2</v>
      </c>
      <c r="X8" s="14">
        <f>AVERAGEIFS(Data!$AS$2:$AS$151,Data!$C$2:$C$151,$A8)</f>
        <v>78.325343265237933</v>
      </c>
      <c r="Y8" s="18">
        <f>AVERAGEIFS(Data!$AV$2:$AV$151,Data!$C$2:$C$151,$A8)</f>
        <v>1.6892502388443587</v>
      </c>
    </row>
    <row r="9" spans="1:25" x14ac:dyDescent="0.2">
      <c r="A9" s="21">
        <v>100</v>
      </c>
      <c r="B9" s="13">
        <f>AVERAGEIFS(Data!$H$2:$H$151,Data!$C$2:$C$151,$A9)</f>
        <v>1690.6105767454678</v>
      </c>
      <c r="C9" s="17">
        <f>AVERAGEIFS(Data!$F$2:$F$151,Data!$C$2:$C$151,$A9)</f>
        <v>278.46790349976339</v>
      </c>
      <c r="D9" s="14">
        <f>AVERAGEIFS(Data!$G$2:$G$151,Data!$C$2:$C$151,$A9)</f>
        <v>48.536134086247166</v>
      </c>
      <c r="E9" s="13">
        <f>AVERAGEIFS(Data!$E$2:$E$151,Data!$C$2:$C$151,$A9)</f>
        <v>231.5</v>
      </c>
      <c r="F9" s="17">
        <f>AVERAGEIFS(Data!$AG$2:$AG$151,Data!$C$2:$C$151,$A9)</f>
        <v>230.5</v>
      </c>
      <c r="G9" s="14">
        <f>AVERAGEIFS(Data!$I$2:$I$151,Data!$C$2:$C$151,$A9)</f>
        <v>86.153333333333336</v>
      </c>
      <c r="H9" s="14">
        <f>AVERAGEIFS(Data!$K$2:$K$151,Data!$C$2:$C$151,$A9)</f>
        <v>249.9366666666667</v>
      </c>
      <c r="I9" s="18">
        <f>AVERAGEIFS(Data!$Q$2:$Q$151,Data!$C$2:$C$151,$A9)</f>
        <v>0.86761715840749365</v>
      </c>
      <c r="J9" s="18">
        <f>AVERAGEIFS(Data!$S$2:$S$151,Data!$C$2:$C$151,$A9)</f>
        <v>0.3606614649996725</v>
      </c>
      <c r="K9" s="18">
        <f>AVERAGEIFS(Data!$U$2:$U$151,Data!$C$2:$C$151,$A9)</f>
        <v>2.7678807685872726E-2</v>
      </c>
      <c r="L9" s="18">
        <f>AVERAGEIFS(Data!$W$2:$W$151,Data!$C$2:$C$151,$A9)</f>
        <v>0.11656529102009751</v>
      </c>
      <c r="M9" s="18">
        <f>_xlfn.MAXIFS(Data!$X$2:$X$151,Data!$C$2:$C$151,$A9)</f>
        <v>0.24399999999999999</v>
      </c>
      <c r="N9" s="18">
        <f>AVERAGEIFS(Data!$Y$2:$Y$151,Data!$C$2:$C$151,$A9)</f>
        <v>0.36738447447703099</v>
      </c>
      <c r="O9" s="19">
        <f>AVERAGEIFS(Data!$AI$2:$AI$151,Data!$C$2:$C$151,$A9)</f>
        <v>8.9885251215462478</v>
      </c>
      <c r="P9" s="19">
        <f>_xlfn.MAXIFS(Data!$AJ$2:$AJ$151,Data!$C$2:$C$151,$A9)</f>
        <v>31.122928543</v>
      </c>
      <c r="Q9" s="19">
        <f>AVERAGEIFS(Data!$AK$2:$AK$151,Data!$C$2:$C$151,$A9)</f>
        <v>7.8838151660739966</v>
      </c>
      <c r="R9" s="19">
        <f>_xlfn.MAXIFS(Data!$AL$2:$AL$151,Data!$C$2:$C$151,$A9)</f>
        <v>27.234708696999999</v>
      </c>
      <c r="S9" s="14">
        <f>AVERAGEIFS(Data!$O$2:$O$151,Data!$C$2:$C$151,$A9)</f>
        <v>20.282941258579694</v>
      </c>
      <c r="T9" s="14">
        <f>_xlfn.MAXIFS(Data!$P$2:$P$151,Data!$C$2:$C$151,$A9)</f>
        <v>99.6</v>
      </c>
      <c r="U9" s="19">
        <f>AVERAGEIFS(Data!$AO$2:$AO$151,Data!$C$2:$C$151,$A9)</f>
        <v>5.3566186097633492</v>
      </c>
      <c r="V9" s="14">
        <f>AVERAGEIFS(Data!$AQ$2:$AQ$151,Data!$C$2:$C$151,$A9)</f>
        <v>59.171370186091366</v>
      </c>
      <c r="W9" s="20">
        <f>AVERAGEIFS(Data!$AR$2:$AR$151,Data!$C$2:$C$151,$A9)</f>
        <v>5.9171370186091372E-2</v>
      </c>
      <c r="X9" s="14">
        <f>AVERAGEIFS(Data!$AS$2:$AS$151,Data!$C$2:$C$151,$A9)</f>
        <v>80.224356917227482</v>
      </c>
      <c r="Y9" s="18">
        <f>AVERAGEIFS(Data!$AV$2:$AV$151,Data!$C$2:$C$151,$A9)</f>
        <v>1.7698940173148496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zoomScaleNormal="100" workbookViewId="0"/>
  </sheetViews>
  <sheetFormatPr baseColWidth="10" defaultColWidth="8.6640625" defaultRowHeight="15" x14ac:dyDescent="0.2"/>
  <cols>
    <col min="1" max="1" width="52" customWidth="1"/>
    <col min="2" max="6" width="13" customWidth="1"/>
  </cols>
  <sheetData>
    <row r="1" spans="1:6" ht="18" x14ac:dyDescent="0.2">
      <c r="A1" s="2" t="s">
        <v>169</v>
      </c>
    </row>
    <row r="2" spans="1:6" x14ac:dyDescent="0.2">
      <c r="A2" s="4" t="s">
        <v>170</v>
      </c>
    </row>
    <row r="4" spans="1:6" x14ac:dyDescent="0.2">
      <c r="A4" s="11" t="s">
        <v>171</v>
      </c>
      <c r="B4" s="12"/>
      <c r="C4" s="12"/>
      <c r="D4" s="12"/>
      <c r="E4" s="12"/>
      <c r="F4" s="12"/>
    </row>
    <row r="5" spans="1:6" x14ac:dyDescent="0.2">
      <c r="A5" s="5" t="s">
        <v>172</v>
      </c>
      <c r="B5" s="22">
        <v>5</v>
      </c>
      <c r="C5" s="22">
        <v>10</v>
      </c>
      <c r="D5" s="22">
        <v>20</v>
      </c>
      <c r="E5" s="22">
        <v>50</v>
      </c>
      <c r="F5" s="22">
        <v>100</v>
      </c>
    </row>
    <row r="6" spans="1:6" x14ac:dyDescent="0.2">
      <c r="A6" s="21">
        <v>128</v>
      </c>
      <c r="B6" s="13">
        <f>AVERAGEIFS(Data!$F$2:$F$151,Data!$B$2:$B$151,$A6,Data!$C$2:$C$151,B$5)</f>
        <v>133.28094422956923</v>
      </c>
      <c r="C6" s="13">
        <f>AVERAGEIFS(Data!$F$2:$F$151,Data!$B$2:$B$151,$A6,Data!$C$2:$C$151,C$5)</f>
        <v>89.518930419115321</v>
      </c>
      <c r="D6" s="13">
        <f>AVERAGEIFS(Data!$F$2:$F$151,Data!$B$2:$B$151,$A6,Data!$C$2:$C$151,D$5)</f>
        <v>97.412872807355569</v>
      </c>
      <c r="E6" s="13">
        <f>AVERAGEIFS(Data!$F$2:$F$151,Data!$B$2:$B$151,$A6,Data!$C$2:$C$151,E$5)</f>
        <v>103.64718594250746</v>
      </c>
      <c r="F6" s="13">
        <f>AVERAGEIFS(Data!$F$2:$F$151,Data!$B$2:$B$151,$A6,Data!$C$2:$C$151,F$5)</f>
        <v>107.86667291470822</v>
      </c>
    </row>
    <row r="7" spans="1:6" x14ac:dyDescent="0.2">
      <c r="A7" s="21">
        <v>512</v>
      </c>
      <c r="B7" s="13">
        <f>AVERAGEIFS(Data!$F$2:$F$151,Data!$B$2:$B$151,$A7,Data!$C$2:$C$151,B$5)</f>
        <v>96.06498237559579</v>
      </c>
      <c r="C7" s="13">
        <f>AVERAGEIFS(Data!$F$2:$F$151,Data!$B$2:$B$151,$A7,Data!$C$2:$C$151,C$5)</f>
        <v>96.869902568170843</v>
      </c>
      <c r="D7" s="13">
        <f>AVERAGEIFS(Data!$F$2:$F$151,Data!$B$2:$B$151,$A7,Data!$C$2:$C$151,D$5)</f>
        <v>98.129095625365181</v>
      </c>
      <c r="E7" s="13">
        <f>AVERAGEIFS(Data!$F$2:$F$151,Data!$B$2:$B$151,$A7,Data!$C$2:$C$151,E$5)</f>
        <v>103.37167476536699</v>
      </c>
      <c r="F7" s="13">
        <f>AVERAGEIFS(Data!$F$2:$F$151,Data!$B$2:$B$151,$A7,Data!$C$2:$C$151,F$5)</f>
        <v>108.65419950475925</v>
      </c>
    </row>
    <row r="8" spans="1:6" x14ac:dyDescent="0.2">
      <c r="A8" s="21">
        <v>1024</v>
      </c>
      <c r="B8" s="13">
        <f>AVERAGEIFS(Data!$F$2:$F$151,Data!$B$2:$B$151,$A8,Data!$C$2:$C$151,B$5)</f>
        <v>96.595076119759966</v>
      </c>
      <c r="C8" s="13">
        <f>AVERAGEIFS(Data!$F$2:$F$151,Data!$B$2:$B$151,$A8,Data!$C$2:$C$151,C$5)</f>
        <v>95.797371743014168</v>
      </c>
      <c r="D8" s="13">
        <f>AVERAGEIFS(Data!$F$2:$F$151,Data!$B$2:$B$151,$A8,Data!$C$2:$C$151,D$5)</f>
        <v>98.299634690978579</v>
      </c>
      <c r="E8" s="13">
        <f>AVERAGEIFS(Data!$F$2:$F$151,Data!$B$2:$B$151,$A8,Data!$C$2:$C$151,E$5)</f>
        <v>102.9542656012347</v>
      </c>
      <c r="F8" s="13">
        <f>AVERAGEIFS(Data!$F$2:$F$151,Data!$B$2:$B$151,$A8,Data!$C$2:$C$151,F$5)</f>
        <v>108.78853012679608</v>
      </c>
    </row>
    <row r="9" spans="1:6" x14ac:dyDescent="0.2">
      <c r="A9" s="21">
        <v>2048</v>
      </c>
      <c r="B9" s="13">
        <f>AVERAGEIFS(Data!$F$2:$F$151,Data!$B$2:$B$151,$A9,Data!$C$2:$C$151,B$5)</f>
        <v>156.60164112376521</v>
      </c>
      <c r="C9" s="13">
        <f>AVERAGEIFS(Data!$F$2:$F$151,Data!$B$2:$B$151,$A9,Data!$C$2:$C$151,C$5)</f>
        <v>95.741482753190155</v>
      </c>
      <c r="D9" s="13">
        <f>AVERAGEIFS(Data!$F$2:$F$151,Data!$B$2:$B$151,$A9,Data!$C$2:$C$151,D$5)</f>
        <v>97.34289839526177</v>
      </c>
      <c r="E9" s="13">
        <f>AVERAGEIFS(Data!$F$2:$F$151,Data!$B$2:$B$151,$A9,Data!$C$2:$C$151,E$5)</f>
        <v>103.14227282663357</v>
      </c>
      <c r="F9" s="13">
        <f>AVERAGEIFS(Data!$F$2:$F$151,Data!$B$2:$B$151,$A9,Data!$C$2:$C$151,F$5)</f>
        <v>108.30460930312981</v>
      </c>
    </row>
    <row r="10" spans="1:6" x14ac:dyDescent="0.2">
      <c r="A10" s="21">
        <v>5120</v>
      </c>
      <c r="B10" s="13">
        <f>AVERAGEIFS(Data!$F$2:$F$151,Data!$B$2:$B$151,$A10,Data!$C$2:$C$151,B$5)</f>
        <v>94.635946188238492</v>
      </c>
      <c r="C10" s="13">
        <f>AVERAGEIFS(Data!$F$2:$F$151,Data!$B$2:$B$151,$A10,Data!$C$2:$C$151,C$5)</f>
        <v>95.367030362482183</v>
      </c>
      <c r="D10" s="13">
        <f>AVERAGEIFS(Data!$F$2:$F$151,Data!$B$2:$B$151,$A10,Data!$C$2:$C$151,D$5)</f>
        <v>96.232355612213695</v>
      </c>
      <c r="E10" s="13">
        <f>AVERAGEIFS(Data!$F$2:$F$151,Data!$B$2:$B$151,$A10,Data!$C$2:$C$151,E$5)</f>
        <v>101.77992605790502</v>
      </c>
      <c r="F10" s="13">
        <f>AVERAGEIFS(Data!$F$2:$F$151,Data!$B$2:$B$151,$A10,Data!$C$2:$C$151,F$5)</f>
        <v>107.27805219497517</v>
      </c>
    </row>
    <row r="11" spans="1:6" x14ac:dyDescent="0.2">
      <c r="A11" s="21">
        <v>10240</v>
      </c>
      <c r="B11" s="13">
        <f>AVERAGEIFS(Data!$F$2:$F$151,Data!$B$2:$B$151,$A11,Data!$C$2:$C$151,B$5)</f>
        <v>196.90448563662363</v>
      </c>
      <c r="C11" s="13">
        <f>AVERAGEIFS(Data!$F$2:$F$151,Data!$B$2:$B$151,$A11,Data!$C$2:$C$151,C$5)</f>
        <v>178.265731404885</v>
      </c>
      <c r="D11" s="13">
        <f>AVERAGEIFS(Data!$F$2:$F$151,Data!$B$2:$B$151,$A11,Data!$C$2:$C$151,D$5)</f>
        <v>337.91058335837477</v>
      </c>
      <c r="E11" s="13">
        <f>AVERAGEIFS(Data!$F$2:$F$151,Data!$B$2:$B$151,$A11,Data!$C$2:$C$151,E$5)</f>
        <v>821.03415191010572</v>
      </c>
      <c r="F11" s="13">
        <f>AVERAGEIFS(Data!$F$2:$F$151,Data!$B$2:$B$151,$A11,Data!$C$2:$C$151,F$5)</f>
        <v>1129.9153569542118</v>
      </c>
    </row>
    <row r="13" spans="1:6" x14ac:dyDescent="0.2">
      <c r="A13" s="11" t="s">
        <v>173</v>
      </c>
      <c r="B13" s="12"/>
      <c r="C13" s="12"/>
      <c r="D13" s="12"/>
      <c r="E13" s="12"/>
      <c r="F13" s="12"/>
    </row>
    <row r="14" spans="1:6" x14ac:dyDescent="0.2">
      <c r="A14" s="5" t="s">
        <v>174</v>
      </c>
      <c r="B14" s="22">
        <v>5</v>
      </c>
      <c r="C14" s="22">
        <v>10</v>
      </c>
      <c r="D14" s="22">
        <v>20</v>
      </c>
      <c r="E14" s="22">
        <v>50</v>
      </c>
      <c r="F14" s="22">
        <v>100</v>
      </c>
    </row>
    <row r="15" spans="1:6" x14ac:dyDescent="0.2">
      <c r="A15" s="21">
        <v>128</v>
      </c>
      <c r="B15" s="13">
        <f>AVERAGEIFS(Data!$F$2:$F$151,Data!$A$2:$A$151,$A15,Data!$C$2:$C$151,B$14,Data!$B$2:$B$151,10240)</f>
        <v>120.83919633878401</v>
      </c>
      <c r="C15" s="13">
        <f>AVERAGEIFS(Data!$F$2:$F$151,Data!$A$2:$A$151,$A15,Data!$C$2:$C$151,C$14,Data!$B$2:$B$151,10240)</f>
        <v>100.54687118390601</v>
      </c>
      <c r="D15" s="13">
        <f>AVERAGEIFS(Data!$F$2:$F$151,Data!$A$2:$A$151,$A15,Data!$C$2:$C$151,D$14,Data!$B$2:$B$151,10240)</f>
        <v>106.26711100922</v>
      </c>
      <c r="E15" s="13">
        <f>AVERAGEIFS(Data!$F$2:$F$151,Data!$A$2:$A$151,$A15,Data!$C$2:$C$151,E$14,Data!$B$2:$B$151,10240)</f>
        <v>125.62036600778799</v>
      </c>
      <c r="F15" s="13">
        <f>AVERAGEIFS(Data!$F$2:$F$151,Data!$A$2:$A$151,$A15,Data!$C$2:$C$151,F$14,Data!$B$2:$B$151,10240)</f>
        <v>171.65484133583999</v>
      </c>
    </row>
    <row r="16" spans="1:6" x14ac:dyDescent="0.2">
      <c r="A16" s="21">
        <v>256</v>
      </c>
      <c r="B16" s="13">
        <f>AVERAGEIFS(Data!$F$2:$F$151,Data!$A$2:$A$151,$A16,Data!$C$2:$C$151,B$14,Data!$B$2:$B$151,10240)</f>
        <v>131.38473483035301</v>
      </c>
      <c r="C16" s="13">
        <f>AVERAGEIFS(Data!$F$2:$F$151,Data!$A$2:$A$151,$A16,Data!$C$2:$C$151,C$14,Data!$B$2:$B$151,10240)</f>
        <v>114.50621680531199</v>
      </c>
      <c r="D16" s="13">
        <f>AVERAGEIFS(Data!$F$2:$F$151,Data!$A$2:$A$151,$A16,Data!$C$2:$C$151,D$14,Data!$B$2:$B$151,10240)</f>
        <v>129.56261589599299</v>
      </c>
      <c r="E16" s="13">
        <f>AVERAGEIFS(Data!$F$2:$F$151,Data!$A$2:$A$151,$A16,Data!$C$2:$C$151,E$14,Data!$B$2:$B$151,10240)</f>
        <v>201.11119848268601</v>
      </c>
      <c r="F16" s="13">
        <f>AVERAGEIFS(Data!$F$2:$F$151,Data!$A$2:$A$151,$A16,Data!$C$2:$C$151,F$14,Data!$B$2:$B$151,10240)</f>
        <v>462.22993916773697</v>
      </c>
    </row>
    <row r="17" spans="1:6" x14ac:dyDescent="0.2">
      <c r="A17" s="21">
        <v>384</v>
      </c>
      <c r="B17" s="13">
        <f>AVERAGEIFS(Data!$F$2:$F$151,Data!$A$2:$A$151,$A17,Data!$C$2:$C$151,B$14,Data!$B$2:$B$151,10240)</f>
        <v>145.188897379558</v>
      </c>
      <c r="C17" s="13">
        <f>AVERAGEIFS(Data!$F$2:$F$151,Data!$A$2:$A$151,$A17,Data!$C$2:$C$151,C$14,Data!$B$2:$B$151,10240)</f>
        <v>135.813562377007</v>
      </c>
      <c r="D17" s="13">
        <f>AVERAGEIFS(Data!$F$2:$F$151,Data!$A$2:$A$151,$A17,Data!$C$2:$C$151,D$14,Data!$B$2:$B$151,10240)</f>
        <v>168.13140788755899</v>
      </c>
      <c r="E17" s="13">
        <f>AVERAGEIFS(Data!$F$2:$F$151,Data!$A$2:$A$151,$A17,Data!$C$2:$C$151,E$14,Data!$B$2:$B$151,10240)</f>
        <v>415.36237906024297</v>
      </c>
      <c r="F17" s="13">
        <f>AVERAGEIFS(Data!$F$2:$F$151,Data!$A$2:$A$151,$A17,Data!$C$2:$C$151,F$14,Data!$B$2:$B$151,10240)</f>
        <v>851.51104211225197</v>
      </c>
    </row>
    <row r="18" spans="1:6" x14ac:dyDescent="0.2">
      <c r="A18" s="21">
        <v>512</v>
      </c>
      <c r="B18" s="13">
        <f>AVERAGEIFS(Data!$F$2:$F$151,Data!$A$2:$A$151,$A18,Data!$C$2:$C$151,B$14,Data!$B$2:$B$151,10240)</f>
        <v>166.28860682947601</v>
      </c>
      <c r="C18" s="13">
        <f>AVERAGEIFS(Data!$F$2:$F$151,Data!$A$2:$A$151,$A18,Data!$C$2:$C$151,C$14,Data!$B$2:$B$151,10240)</f>
        <v>167.55968153011099</v>
      </c>
      <c r="D18" s="13">
        <f>AVERAGEIFS(Data!$F$2:$F$151,Data!$A$2:$A$151,$A18,Data!$C$2:$C$151,D$14,Data!$B$2:$B$151,10240)</f>
        <v>235.02066767949199</v>
      </c>
      <c r="E18" s="13">
        <f>AVERAGEIFS(Data!$F$2:$F$151,Data!$A$2:$A$151,$A18,Data!$C$2:$C$151,E$14,Data!$B$2:$B$151,10240)</f>
        <v>876.44847555144202</v>
      </c>
      <c r="F18" s="13">
        <f>AVERAGEIFS(Data!$F$2:$F$151,Data!$A$2:$A$151,$A18,Data!$C$2:$C$151,F$14,Data!$B$2:$B$151,10240)</f>
        <v>1205.2986475190901</v>
      </c>
    </row>
    <row r="19" spans="1:6" x14ac:dyDescent="0.2">
      <c r="A19" s="21">
        <v>1024</v>
      </c>
      <c r="B19" s="13">
        <f>AVERAGEIFS(Data!$F$2:$F$151,Data!$A$2:$A$151,$A19,Data!$C$2:$C$151,B$14,Data!$B$2:$B$151,10240)</f>
        <v>420.82099280494702</v>
      </c>
      <c r="C19" s="13">
        <f>AVERAGEIFS(Data!$F$2:$F$151,Data!$A$2:$A$151,$A19,Data!$C$2:$C$151,C$14,Data!$B$2:$B$151,10240)</f>
        <v>372.90232512808899</v>
      </c>
      <c r="D19" s="13">
        <f>AVERAGEIFS(Data!$F$2:$F$151,Data!$A$2:$A$151,$A19,Data!$C$2:$C$151,D$14,Data!$B$2:$B$151,10240)</f>
        <v>1050.5711143196099</v>
      </c>
      <c r="E19" s="13">
        <f>AVERAGEIFS(Data!$F$2:$F$151,Data!$A$2:$A$151,$A19,Data!$C$2:$C$151,E$14,Data!$B$2:$B$151,10240)</f>
        <v>2486.6283404483702</v>
      </c>
      <c r="F19" s="13">
        <f>AVERAGEIFS(Data!$F$2:$F$151,Data!$A$2:$A$151,$A19,Data!$C$2:$C$151,F$14,Data!$B$2:$B$151,10240)</f>
        <v>2958.8823146361401</v>
      </c>
    </row>
    <row r="21" spans="1:6" x14ac:dyDescent="0.2">
      <c r="A21" s="11" t="s">
        <v>175</v>
      </c>
      <c r="B21" s="12"/>
      <c r="C21" s="12"/>
      <c r="D21" s="12"/>
      <c r="E21" s="12"/>
      <c r="F21" s="12"/>
    </row>
    <row r="22" spans="1:6" x14ac:dyDescent="0.2">
      <c r="A22" s="5" t="s">
        <v>172</v>
      </c>
      <c r="B22" s="22">
        <v>5</v>
      </c>
      <c r="C22" s="22">
        <v>10</v>
      </c>
      <c r="D22" s="22">
        <v>20</v>
      </c>
      <c r="E22" s="22">
        <v>50</v>
      </c>
      <c r="F22" s="22">
        <v>100</v>
      </c>
    </row>
    <row r="23" spans="1:6" x14ac:dyDescent="0.2">
      <c r="A23" s="21">
        <v>128</v>
      </c>
      <c r="B23" s="19">
        <f>AVERAGEIFS(Data!$AV$2:$AV$151,Data!$B$2:$B$151,$A23,Data!$C$2:$C$151,B$22)</f>
        <v>0.5821951094664406</v>
      </c>
      <c r="C23" s="19">
        <f>AVERAGEIFS(Data!$AV$2:$AV$151,Data!$B$2:$B$151,$A23,Data!$C$2:$C$151,C$22)</f>
        <v>1.0856125038948821</v>
      </c>
      <c r="D23" s="19">
        <f>AVERAGEIFS(Data!$AV$2:$AV$151,Data!$B$2:$B$151,$A23,Data!$C$2:$C$151,D$22)</f>
        <v>1.6048552999203221</v>
      </c>
      <c r="E23" s="19">
        <f>AVERAGEIFS(Data!$AV$2:$AV$151,Data!$B$2:$B$151,$A23,Data!$C$2:$C$151,E$22)</f>
        <v>2.234790962749627</v>
      </c>
      <c r="F23" s="19">
        <f>AVERAGEIFS(Data!$AV$2:$AV$151,Data!$B$2:$B$151,$A23,Data!$C$2:$C$151,F$22)</f>
        <v>2.5718708386147724</v>
      </c>
    </row>
    <row r="24" spans="1:6" x14ac:dyDescent="0.2">
      <c r="A24" s="21">
        <v>512</v>
      </c>
      <c r="B24" s="19">
        <f>AVERAGEIFS(Data!$AV$2:$AV$151,Data!$B$2:$B$151,$A24,Data!$C$2:$C$151,B$22)</f>
        <v>1.2689758726415374</v>
      </c>
      <c r="C24" s="19">
        <f>AVERAGEIFS(Data!$AV$2:$AV$151,Data!$B$2:$B$151,$A24,Data!$C$2:$C$151,C$22)</f>
        <v>1.5763974305166244</v>
      </c>
      <c r="D24" s="19">
        <f>AVERAGEIFS(Data!$AV$2:$AV$151,Data!$B$2:$B$151,$A24,Data!$C$2:$C$151,D$22)</f>
        <v>1.7816553774771831</v>
      </c>
      <c r="E24" s="19">
        <f>AVERAGEIFS(Data!$AV$2:$AV$151,Data!$B$2:$B$151,$A24,Data!$C$2:$C$151,E$22)</f>
        <v>1.9294091731648504</v>
      </c>
      <c r="F24" s="19">
        <f>AVERAGEIFS(Data!$AV$2:$AV$151,Data!$B$2:$B$151,$A24,Data!$C$2:$C$151,F$22)</f>
        <v>1.9969295393690125</v>
      </c>
    </row>
    <row r="25" spans="1:6" x14ac:dyDescent="0.2">
      <c r="A25" s="21">
        <v>1024</v>
      </c>
      <c r="B25" s="19">
        <f>AVERAGEIFS(Data!$AV$2:$AV$151,Data!$B$2:$B$151,$A25,Data!$C$2:$C$151,B$22)</f>
        <v>1.4967974449572625</v>
      </c>
      <c r="C25" s="19">
        <f>AVERAGEIFS(Data!$AV$2:$AV$151,Data!$B$2:$B$151,$A25,Data!$C$2:$C$151,C$22)</f>
        <v>1.7046186729958943</v>
      </c>
      <c r="D25" s="19">
        <f>AVERAGEIFS(Data!$AV$2:$AV$151,Data!$B$2:$B$151,$A25,Data!$C$2:$C$151,D$22)</f>
        <v>1.846288677262655</v>
      </c>
      <c r="E25" s="19">
        <f>AVERAGEIFS(Data!$AV$2:$AV$151,Data!$B$2:$B$151,$A25,Data!$C$2:$C$151,E$22)</f>
        <v>1.8521967955431111</v>
      </c>
      <c r="F25" s="19">
        <f>AVERAGEIFS(Data!$AV$2:$AV$151,Data!$B$2:$B$151,$A25,Data!$C$2:$C$151,F$22)</f>
        <v>1.8877030467905112</v>
      </c>
    </row>
    <row r="26" spans="1:6" x14ac:dyDescent="0.2">
      <c r="A26" s="21">
        <v>2048</v>
      </c>
      <c r="B26" s="19">
        <f>AVERAGEIFS(Data!$AV$2:$AV$151,Data!$B$2:$B$151,$A26,Data!$C$2:$C$151,B$22)</f>
        <v>1.5236837203442122</v>
      </c>
      <c r="C26" s="19">
        <f>AVERAGEIFS(Data!$AV$2:$AV$151,Data!$B$2:$B$151,$A26,Data!$C$2:$C$151,C$22)</f>
        <v>1.6385437643196332</v>
      </c>
      <c r="D26" s="19">
        <f>AVERAGEIFS(Data!$AV$2:$AV$151,Data!$B$2:$B$151,$A26,Data!$C$2:$C$151,D$22)</f>
        <v>1.6870060142926255</v>
      </c>
      <c r="E26" s="19">
        <f>AVERAGEIFS(Data!$AV$2:$AV$151,Data!$B$2:$B$151,$A26,Data!$C$2:$C$151,E$22)</f>
        <v>1.7112916338763342</v>
      </c>
      <c r="F26" s="19">
        <f>AVERAGEIFS(Data!$AV$2:$AV$151,Data!$B$2:$B$151,$A26,Data!$C$2:$C$151,F$22)</f>
        <v>1.7213439180847119</v>
      </c>
    </row>
    <row r="27" spans="1:6" x14ac:dyDescent="0.2">
      <c r="A27" s="21">
        <v>5120</v>
      </c>
      <c r="B27" s="19">
        <f>AVERAGEIFS(Data!$AV$2:$AV$151,Data!$B$2:$B$151,$A27,Data!$C$2:$C$151,B$22)</f>
        <v>1.3268872449338533</v>
      </c>
      <c r="C27" s="19">
        <f>AVERAGEIFS(Data!$AV$2:$AV$151,Data!$B$2:$B$151,$A27,Data!$C$2:$C$151,C$22)</f>
        <v>1.3503505644660412</v>
      </c>
      <c r="D27" s="19">
        <f>AVERAGEIFS(Data!$AV$2:$AV$151,Data!$B$2:$B$151,$A27,Data!$C$2:$C$151,D$22)</f>
        <v>1.3616652051187164</v>
      </c>
      <c r="E27" s="19">
        <f>AVERAGEIFS(Data!$AV$2:$AV$151,Data!$B$2:$B$151,$A27,Data!$C$2:$C$151,E$22)</f>
        <v>1.3673747086054073</v>
      </c>
      <c r="F27" s="19">
        <f>AVERAGEIFS(Data!$AV$2:$AV$151,Data!$B$2:$B$151,$A27,Data!$C$2:$C$151,F$22)</f>
        <v>1.4044251889186437</v>
      </c>
    </row>
    <row r="28" spans="1:6" x14ac:dyDescent="0.2">
      <c r="A28" s="21">
        <v>10240</v>
      </c>
      <c r="B28" s="19">
        <f>AVERAGEIFS(Data!$AV$2:$AV$151,Data!$B$2:$B$151,$A28,Data!$C$2:$C$151,B$22)</f>
        <v>1.028739934608589</v>
      </c>
      <c r="C28" s="19">
        <f>AVERAGEIFS(Data!$AV$2:$AV$151,Data!$B$2:$B$151,$A28,Data!$C$2:$C$151,C$22)</f>
        <v>1.0358340454453729</v>
      </c>
      <c r="D28" s="19">
        <f>AVERAGEIFS(Data!$AV$2:$AV$151,Data!$B$2:$B$151,$A28,Data!$C$2:$C$151,D$22)</f>
        <v>1.0411102901643789</v>
      </c>
      <c r="E28" s="19">
        <f>AVERAGEIFS(Data!$AV$2:$AV$151,Data!$B$2:$B$151,$A28,Data!$C$2:$C$151,E$22)</f>
        <v>1.0404381591268219</v>
      </c>
      <c r="F28" s="19">
        <f>AVERAGEIFS(Data!$AV$2:$AV$151,Data!$B$2:$B$151,$A28,Data!$C$2:$C$151,F$22)</f>
        <v>1.0370915721114469</v>
      </c>
    </row>
    <row r="30" spans="1:6" x14ac:dyDescent="0.2">
      <c r="A30" s="11" t="s">
        <v>176</v>
      </c>
      <c r="B30" s="12"/>
      <c r="C30" s="12"/>
      <c r="D30" s="12"/>
      <c r="E30" s="12"/>
      <c r="F30" s="12"/>
    </row>
    <row r="31" spans="1:6" x14ac:dyDescent="0.2">
      <c r="A31" s="5" t="s">
        <v>172</v>
      </c>
      <c r="B31" s="22">
        <v>5</v>
      </c>
      <c r="C31" s="22">
        <v>10</v>
      </c>
      <c r="D31" s="22">
        <v>20</v>
      </c>
      <c r="E31" s="22">
        <v>50</v>
      </c>
      <c r="F31" s="22">
        <v>100</v>
      </c>
    </row>
    <row r="32" spans="1:6" x14ac:dyDescent="0.2">
      <c r="A32" s="21">
        <v>128</v>
      </c>
      <c r="B32" s="14">
        <f>AVERAGEIFS(Data!$G$2:$G$151,Data!$B$2:$B$151,$A32,Data!$C$2:$C$151,B$31)</f>
        <v>33.672852114385975</v>
      </c>
      <c r="C32" s="14">
        <f>AVERAGEIFS(Data!$G$2:$G$151,Data!$B$2:$B$151,$A32,Data!$C$2:$C$151,C$31)</f>
        <v>34.508527622046401</v>
      </c>
      <c r="D32" s="14">
        <f>AVERAGEIFS(Data!$G$2:$G$151,Data!$B$2:$B$151,$A32,Data!$C$2:$C$151,D$31)</f>
        <v>38.028431172927142</v>
      </c>
      <c r="E32" s="14">
        <f>AVERAGEIFS(Data!$G$2:$G$151,Data!$B$2:$B$151,$A32,Data!$C$2:$C$151,E$31)</f>
        <v>41.09823966299038</v>
      </c>
      <c r="F32" s="14">
        <f>AVERAGEIFS(Data!$G$2:$G$151,Data!$B$2:$B$151,$A32,Data!$C$2:$C$151,F$31)</f>
        <v>41.71392563207916</v>
      </c>
    </row>
    <row r="33" spans="1:6" x14ac:dyDescent="0.2">
      <c r="A33" s="21">
        <v>512</v>
      </c>
      <c r="B33" s="14">
        <f>AVERAGEIFS(Data!$G$2:$G$151,Data!$B$2:$B$151,$A33,Data!$C$2:$C$151,B$31)</f>
        <v>37.506932546332699</v>
      </c>
      <c r="C33" s="14">
        <f>AVERAGEIFS(Data!$G$2:$G$151,Data!$B$2:$B$151,$A33,Data!$C$2:$C$151,C$31)</f>
        <v>40.599333549038519</v>
      </c>
      <c r="D33" s="14">
        <f>AVERAGEIFS(Data!$G$2:$G$151,Data!$B$2:$B$151,$A33,Data!$C$2:$C$151,D$31)</f>
        <v>41.867202771635398</v>
      </c>
      <c r="E33" s="14">
        <f>AVERAGEIFS(Data!$G$2:$G$151,Data!$B$2:$B$151,$A33,Data!$C$2:$C$151,E$31)</f>
        <v>42.503926457633384</v>
      </c>
      <c r="F33" s="14">
        <f>AVERAGEIFS(Data!$G$2:$G$151,Data!$B$2:$B$151,$A33,Data!$C$2:$C$151,F$31)</f>
        <v>42.615040598274142</v>
      </c>
    </row>
    <row r="34" spans="1:6" x14ac:dyDescent="0.2">
      <c r="A34" s="21">
        <v>1024</v>
      </c>
      <c r="B34" s="14">
        <f>AVERAGEIFS(Data!$G$2:$G$151,Data!$B$2:$B$151,$A34,Data!$C$2:$C$151,B$31)</f>
        <v>41.212246183731217</v>
      </c>
      <c r="C34" s="14">
        <f>AVERAGEIFS(Data!$G$2:$G$151,Data!$B$2:$B$151,$A34,Data!$C$2:$C$151,C$31)</f>
        <v>42.491722916862763</v>
      </c>
      <c r="D34" s="14">
        <f>AVERAGEIFS(Data!$G$2:$G$151,Data!$B$2:$B$151,$A34,Data!$C$2:$C$151,D$31)</f>
        <v>43.223941263852019</v>
      </c>
      <c r="E34" s="14">
        <f>AVERAGEIFS(Data!$G$2:$G$151,Data!$B$2:$B$151,$A34,Data!$C$2:$C$151,E$31)</f>
        <v>43.524125942090386</v>
      </c>
      <c r="F34" s="14">
        <f>AVERAGEIFS(Data!$G$2:$G$151,Data!$B$2:$B$151,$A34,Data!$C$2:$C$151,F$31)</f>
        <v>43.533660842523872</v>
      </c>
    </row>
    <row r="35" spans="1:6" x14ac:dyDescent="0.2">
      <c r="A35" s="21">
        <v>2048</v>
      </c>
      <c r="B35" s="14">
        <f>AVERAGEIFS(Data!$G$2:$G$151,Data!$B$2:$B$151,$A35,Data!$C$2:$C$151,B$31)</f>
        <v>45.742503260707721</v>
      </c>
      <c r="C35" s="14">
        <f>AVERAGEIFS(Data!$G$2:$G$151,Data!$B$2:$B$151,$A35,Data!$C$2:$C$151,C$31)</f>
        <v>45.378844085996697</v>
      </c>
      <c r="D35" s="14">
        <f>AVERAGEIFS(Data!$G$2:$G$151,Data!$B$2:$B$151,$A35,Data!$C$2:$C$151,D$31)</f>
        <v>45.628149889072652</v>
      </c>
      <c r="E35" s="14">
        <f>AVERAGEIFS(Data!$G$2:$G$151,Data!$B$2:$B$151,$A35,Data!$C$2:$C$151,E$31)</f>
        <v>45.72313232193958</v>
      </c>
      <c r="F35" s="14">
        <f>AVERAGEIFS(Data!$G$2:$G$151,Data!$B$2:$B$151,$A35,Data!$C$2:$C$151,F$31)</f>
        <v>45.776002631579978</v>
      </c>
    </row>
    <row r="36" spans="1:6" x14ac:dyDescent="0.2">
      <c r="A36" s="21">
        <v>5120</v>
      </c>
      <c r="B36" s="14">
        <f>AVERAGEIFS(Data!$G$2:$G$151,Data!$B$2:$B$151,$A36,Data!$C$2:$C$151,B$31)</f>
        <v>52.428258330856053</v>
      </c>
      <c r="C36" s="14">
        <f>AVERAGEIFS(Data!$G$2:$G$151,Data!$B$2:$B$151,$A36,Data!$C$2:$C$151,C$31)</f>
        <v>52.651690228877364</v>
      </c>
      <c r="D36" s="14">
        <f>AVERAGEIFS(Data!$G$2:$G$151,Data!$B$2:$B$151,$A36,Data!$C$2:$C$151,D$31)</f>
        <v>52.706889984823263</v>
      </c>
      <c r="E36" s="14">
        <f>AVERAGEIFS(Data!$G$2:$G$151,Data!$B$2:$B$151,$A36,Data!$C$2:$C$151,E$31)</f>
        <v>52.761589381491262</v>
      </c>
      <c r="F36" s="14">
        <f>AVERAGEIFS(Data!$G$2:$G$151,Data!$B$2:$B$151,$A36,Data!$C$2:$C$151,F$31)</f>
        <v>52.790830508591036</v>
      </c>
    </row>
    <row r="37" spans="1:6" x14ac:dyDescent="0.2">
      <c r="A37" s="21">
        <v>10240</v>
      </c>
      <c r="B37" s="14">
        <f>AVERAGEIFS(Data!$G$2:$G$151,Data!$B$2:$B$151,$A37,Data!$C$2:$C$151,B$31)</f>
        <v>64.675790757428743</v>
      </c>
      <c r="C37" s="14">
        <f>AVERAGEIFS(Data!$G$2:$G$151,Data!$B$2:$B$151,$A37,Data!$C$2:$C$151,C$31)</f>
        <v>64.701080162651948</v>
      </c>
      <c r="D37" s="14">
        <f>AVERAGEIFS(Data!$G$2:$G$151,Data!$B$2:$B$151,$A37,Data!$C$2:$C$151,D$31)</f>
        <v>64.699903107945346</v>
      </c>
      <c r="E37" s="14">
        <f>AVERAGEIFS(Data!$G$2:$G$151,Data!$B$2:$B$151,$A37,Data!$C$2:$C$151,E$31)</f>
        <v>64.782228355333388</v>
      </c>
      <c r="F37" s="14">
        <f>AVERAGEIFS(Data!$G$2:$G$151,Data!$B$2:$B$151,$A37,Data!$C$2:$C$151,F$31)</f>
        <v>64.787344304434711</v>
      </c>
    </row>
    <row r="39" spans="1:6" x14ac:dyDescent="0.2">
      <c r="A39" s="11" t="s">
        <v>177</v>
      </c>
      <c r="B39" s="12"/>
      <c r="C39" s="12"/>
      <c r="D39" s="12"/>
      <c r="E39" s="12"/>
      <c r="F39" s="12"/>
    </row>
    <row r="40" spans="1:6" x14ac:dyDescent="0.2">
      <c r="A40" s="5" t="s">
        <v>172</v>
      </c>
      <c r="B40" s="22">
        <v>5</v>
      </c>
      <c r="C40" s="22">
        <v>10</v>
      </c>
      <c r="D40" s="22">
        <v>20</v>
      </c>
      <c r="E40" s="22">
        <v>50</v>
      </c>
      <c r="F40" s="22">
        <v>100</v>
      </c>
    </row>
    <row r="41" spans="1:6" x14ac:dyDescent="0.2">
      <c r="A41" s="21">
        <v>128</v>
      </c>
      <c r="B41" s="14">
        <f>AVERAGEIFS(Data!$K$2:$K$151,Data!$B$2:$B$151,$A41,Data!$C$2:$C$151,B$40)</f>
        <v>226.74</v>
      </c>
      <c r="C41" s="14">
        <f>AVERAGEIFS(Data!$K$2:$K$151,Data!$B$2:$B$151,$A41,Data!$C$2:$C$151,C$40)</f>
        <v>201</v>
      </c>
      <c r="D41" s="14">
        <f>AVERAGEIFS(Data!$K$2:$K$151,Data!$B$2:$B$151,$A41,Data!$C$2:$C$151,D$40)</f>
        <v>194.04</v>
      </c>
      <c r="E41" s="14">
        <f>AVERAGEIFS(Data!$K$2:$K$151,Data!$B$2:$B$151,$A41,Data!$C$2:$C$151,E$40)</f>
        <v>179.74</v>
      </c>
      <c r="F41" s="14">
        <f>AVERAGEIFS(Data!$K$2:$K$151,Data!$B$2:$B$151,$A41,Data!$C$2:$C$151,F$40)</f>
        <v>171.82</v>
      </c>
    </row>
    <row r="42" spans="1:6" x14ac:dyDescent="0.2">
      <c r="A42" s="21">
        <v>512</v>
      </c>
      <c r="B42" s="14">
        <f>AVERAGEIFS(Data!$K$2:$K$151,Data!$B$2:$B$151,$A42,Data!$C$2:$C$151,B$40)</f>
        <v>245.4</v>
      </c>
      <c r="C42" s="14">
        <f>AVERAGEIFS(Data!$K$2:$K$151,Data!$B$2:$B$151,$A42,Data!$C$2:$C$151,C$40)</f>
        <v>242.04000000000002</v>
      </c>
      <c r="D42" s="14">
        <f>AVERAGEIFS(Data!$K$2:$K$151,Data!$B$2:$B$151,$A42,Data!$C$2:$C$151,D$40)</f>
        <v>240.92</v>
      </c>
      <c r="E42" s="14">
        <f>AVERAGEIFS(Data!$K$2:$K$151,Data!$B$2:$B$151,$A42,Data!$C$2:$C$151,E$40)</f>
        <v>239.32</v>
      </c>
      <c r="F42" s="14">
        <f>AVERAGEIFS(Data!$K$2:$K$151,Data!$B$2:$B$151,$A42,Data!$C$2:$C$151,F$40)</f>
        <v>236.82</v>
      </c>
    </row>
    <row r="43" spans="1:6" x14ac:dyDescent="0.2">
      <c r="A43" s="21">
        <v>1024</v>
      </c>
      <c r="B43" s="14">
        <f>AVERAGEIFS(Data!$K$2:$K$151,Data!$B$2:$B$151,$A43,Data!$C$2:$C$151,B$40)</f>
        <v>251.87999999999997</v>
      </c>
      <c r="C43" s="14">
        <f>AVERAGEIFS(Data!$K$2:$K$151,Data!$B$2:$B$151,$A43,Data!$C$2:$C$151,C$40)</f>
        <v>248.74</v>
      </c>
      <c r="D43" s="14">
        <f>AVERAGEIFS(Data!$K$2:$K$151,Data!$B$2:$B$151,$A43,Data!$C$2:$C$151,D$40)</f>
        <v>244.01999999999998</v>
      </c>
      <c r="E43" s="14">
        <f>AVERAGEIFS(Data!$K$2:$K$151,Data!$B$2:$B$151,$A43,Data!$C$2:$C$151,E$40)</f>
        <v>250.5</v>
      </c>
      <c r="F43" s="14">
        <f>AVERAGEIFS(Data!$K$2:$K$151,Data!$B$2:$B$151,$A43,Data!$C$2:$C$151,F$40)</f>
        <v>248.5</v>
      </c>
    </row>
    <row r="44" spans="1:6" x14ac:dyDescent="0.2">
      <c r="A44" s="21">
        <v>2048</v>
      </c>
      <c r="B44" s="14">
        <f>AVERAGEIFS(Data!$K$2:$K$151,Data!$B$2:$B$151,$A44,Data!$C$2:$C$151,B$40)</f>
        <v>263.14</v>
      </c>
      <c r="C44" s="14">
        <f>AVERAGEIFS(Data!$K$2:$K$151,Data!$B$2:$B$151,$A44,Data!$C$2:$C$151,C$40)</f>
        <v>261.10000000000002</v>
      </c>
      <c r="D44" s="14">
        <f>AVERAGEIFS(Data!$K$2:$K$151,Data!$B$2:$B$151,$A44,Data!$C$2:$C$151,D$40)</f>
        <v>260.95999999999998</v>
      </c>
      <c r="E44" s="14">
        <f>AVERAGEIFS(Data!$K$2:$K$151,Data!$B$2:$B$151,$A44,Data!$C$2:$C$151,E$40)</f>
        <v>260.88</v>
      </c>
      <c r="F44" s="14">
        <f>AVERAGEIFS(Data!$K$2:$K$151,Data!$B$2:$B$151,$A44,Data!$C$2:$C$151,F$40)</f>
        <v>260.41999999999996</v>
      </c>
    </row>
    <row r="45" spans="1:6" x14ac:dyDescent="0.2">
      <c r="A45" s="21">
        <v>5120</v>
      </c>
      <c r="B45" s="14">
        <f>AVERAGEIFS(Data!$K$2:$K$151,Data!$B$2:$B$151,$A45,Data!$C$2:$C$151,B$40)</f>
        <v>283.91999999999996</v>
      </c>
      <c r="C45" s="14">
        <f>AVERAGEIFS(Data!$K$2:$K$151,Data!$B$2:$B$151,$A45,Data!$C$2:$C$151,C$40)</f>
        <v>284.23999999999995</v>
      </c>
      <c r="D45" s="14">
        <f>AVERAGEIFS(Data!$K$2:$K$151,Data!$B$2:$B$151,$A45,Data!$C$2:$C$151,D$40)</f>
        <v>284.12</v>
      </c>
      <c r="E45" s="14">
        <f>AVERAGEIFS(Data!$K$2:$K$151,Data!$B$2:$B$151,$A45,Data!$C$2:$C$151,E$40)</f>
        <v>284.14</v>
      </c>
      <c r="F45" s="14">
        <f>AVERAGEIFS(Data!$K$2:$K$151,Data!$B$2:$B$151,$A45,Data!$C$2:$C$151,F$40)</f>
        <v>277.06</v>
      </c>
    </row>
    <row r="46" spans="1:6" x14ac:dyDescent="0.2">
      <c r="A46" s="21">
        <v>10240</v>
      </c>
      <c r="B46" s="14">
        <f>AVERAGEIFS(Data!$K$2:$K$151,Data!$B$2:$B$151,$A46,Data!$C$2:$C$151,B$40)</f>
        <v>304.27999999999997</v>
      </c>
      <c r="C46" s="14">
        <f>AVERAGEIFS(Data!$K$2:$K$151,Data!$B$2:$B$151,$A46,Data!$C$2:$C$151,C$40)</f>
        <v>304.23999999999995</v>
      </c>
      <c r="D46" s="14">
        <f>AVERAGEIFS(Data!$K$2:$K$151,Data!$B$2:$B$151,$A46,Data!$C$2:$C$151,D$40)</f>
        <v>303.66000000000003</v>
      </c>
      <c r="E46" s="14">
        <f>AVERAGEIFS(Data!$K$2:$K$151,Data!$B$2:$B$151,$A46,Data!$C$2:$C$151,E$40)</f>
        <v>303.96000000000004</v>
      </c>
      <c r="F46" s="14">
        <f>AVERAGEIFS(Data!$K$2:$K$151,Data!$B$2:$B$151,$A46,Data!$C$2:$C$151,F$40)</f>
        <v>305.00000000000006</v>
      </c>
    </row>
    <row r="48" spans="1:6" x14ac:dyDescent="0.2">
      <c r="A48" s="11" t="s">
        <v>178</v>
      </c>
      <c r="B48" s="12"/>
      <c r="C48" s="12"/>
      <c r="D48" s="12"/>
      <c r="E48" s="12"/>
      <c r="F48" s="12"/>
    </row>
    <row r="49" spans="1:6" x14ac:dyDescent="0.2">
      <c r="A49" s="5" t="s">
        <v>172</v>
      </c>
      <c r="B49" s="22">
        <v>5</v>
      </c>
      <c r="C49" s="22">
        <v>10</v>
      </c>
      <c r="D49" s="22">
        <v>20</v>
      </c>
      <c r="E49" s="22">
        <v>50</v>
      </c>
      <c r="F49" s="22">
        <v>100</v>
      </c>
    </row>
    <row r="50" spans="1:6" x14ac:dyDescent="0.2">
      <c r="A50" s="21">
        <v>128</v>
      </c>
      <c r="B50" s="18">
        <f>AVERAGEIFS(Data!$S$2:$S$151,Data!$B$2:$B$151,$A50,Data!$C$2:$C$151,B$49)</f>
        <v>0.34214166666666662</v>
      </c>
      <c r="C50" s="18">
        <f>AVERAGEIFS(Data!$S$2:$S$151,Data!$B$2:$B$151,$A50,Data!$C$2:$C$151,C$49)</f>
        <v>0.28636499999999998</v>
      </c>
      <c r="D50" s="18">
        <f>AVERAGEIFS(Data!$S$2:$S$151,Data!$B$2:$B$151,$A50,Data!$C$2:$C$151,D$49)</f>
        <v>0.24399910714285719</v>
      </c>
      <c r="E50" s="18">
        <f>AVERAGEIFS(Data!$S$2:$S$151,Data!$B$2:$B$151,$A50,Data!$C$2:$C$151,E$49)</f>
        <v>0.19044166666666679</v>
      </c>
      <c r="F50" s="18">
        <f>AVERAGEIFS(Data!$S$2:$S$151,Data!$B$2:$B$151,$A50,Data!$C$2:$C$151,F$49)</f>
        <v>0.1780583333333334</v>
      </c>
    </row>
    <row r="51" spans="1:6" x14ac:dyDescent="0.2">
      <c r="A51" s="21">
        <v>512</v>
      </c>
      <c r="B51" s="18">
        <f>AVERAGEIFS(Data!$S$2:$S$151,Data!$B$2:$B$151,$A51,Data!$C$2:$C$151,B$49)</f>
        <v>0.35262283432147579</v>
      </c>
      <c r="C51" s="18">
        <f>AVERAGEIFS(Data!$S$2:$S$151,Data!$B$2:$B$151,$A51,Data!$C$2:$C$151,C$49)</f>
        <v>0.32547578947368427</v>
      </c>
      <c r="D51" s="18">
        <f>AVERAGEIFS(Data!$S$2:$S$151,Data!$B$2:$B$151,$A51,Data!$C$2:$C$151,D$49)</f>
        <v>0.30691535947712401</v>
      </c>
      <c r="E51" s="18">
        <f>AVERAGEIFS(Data!$S$2:$S$151,Data!$B$2:$B$151,$A51,Data!$C$2:$C$151,E$49)</f>
        <v>0.29128253676470583</v>
      </c>
      <c r="F51" s="18">
        <f>AVERAGEIFS(Data!$S$2:$S$151,Data!$B$2:$B$151,$A51,Data!$C$2:$C$151,F$49)</f>
        <v>0.28444115196078423</v>
      </c>
    </row>
    <row r="52" spans="1:6" x14ac:dyDescent="0.2">
      <c r="A52" s="21">
        <v>1024</v>
      </c>
      <c r="B52" s="18">
        <f>AVERAGEIFS(Data!$S$2:$S$151,Data!$B$2:$B$151,$A52,Data!$C$2:$C$151,B$49)</f>
        <v>0.36611096908939</v>
      </c>
      <c r="C52" s="18">
        <f>AVERAGEIFS(Data!$S$2:$S$151,Data!$B$2:$B$151,$A52,Data!$C$2:$C$151,C$49)</f>
        <v>0.35182464232577176</v>
      </c>
      <c r="D52" s="18">
        <f>AVERAGEIFS(Data!$S$2:$S$151,Data!$B$2:$B$151,$A52,Data!$C$2:$C$151,D$49)</f>
        <v>0.32933454585083621</v>
      </c>
      <c r="E52" s="18">
        <f>AVERAGEIFS(Data!$S$2:$S$151,Data!$B$2:$B$151,$A52,Data!$C$2:$C$151,E$49)</f>
        <v>0.33316179238505761</v>
      </c>
      <c r="F52" s="18">
        <f>AVERAGEIFS(Data!$S$2:$S$151,Data!$B$2:$B$151,$A52,Data!$C$2:$C$151,F$49)</f>
        <v>0.32894606202659038</v>
      </c>
    </row>
    <row r="53" spans="1:6" x14ac:dyDescent="0.2">
      <c r="A53" s="21">
        <v>2048</v>
      </c>
      <c r="B53" s="18">
        <f>AVERAGEIFS(Data!$S$2:$S$151,Data!$B$2:$B$151,$A53,Data!$C$2:$C$151,B$49)</f>
        <v>0.39012488677988666</v>
      </c>
      <c r="C53" s="18">
        <f>AVERAGEIFS(Data!$S$2:$S$151,Data!$B$2:$B$151,$A53,Data!$C$2:$C$151,C$49)</f>
        <v>0.38678307702477338</v>
      </c>
      <c r="D53" s="18">
        <f>AVERAGEIFS(Data!$S$2:$S$151,Data!$B$2:$B$151,$A53,Data!$C$2:$C$151,D$49)</f>
        <v>0.38027828437936162</v>
      </c>
      <c r="E53" s="18">
        <f>AVERAGEIFS(Data!$S$2:$S$151,Data!$B$2:$B$151,$A53,Data!$C$2:$C$151,E$49)</f>
        <v>0.37843075090683059</v>
      </c>
      <c r="F53" s="18">
        <f>AVERAGEIFS(Data!$S$2:$S$151,Data!$B$2:$B$151,$A53,Data!$C$2:$C$151,F$49)</f>
        <v>0.378821865706786</v>
      </c>
    </row>
    <row r="54" spans="1:6" x14ac:dyDescent="0.2">
      <c r="A54" s="21">
        <v>5120</v>
      </c>
      <c r="B54" s="18">
        <f>AVERAGEIFS(Data!$S$2:$S$151,Data!$B$2:$B$151,$A54,Data!$C$2:$C$151,B$49)</f>
        <v>0.4655843127042526</v>
      </c>
      <c r="C54" s="18">
        <f>AVERAGEIFS(Data!$S$2:$S$151,Data!$B$2:$B$151,$A54,Data!$C$2:$C$151,C$49)</f>
        <v>0.46204666757806623</v>
      </c>
      <c r="D54" s="18">
        <f>AVERAGEIFS(Data!$S$2:$S$151,Data!$B$2:$B$151,$A54,Data!$C$2:$C$151,D$49)</f>
        <v>0.46212988782609665</v>
      </c>
      <c r="E54" s="18">
        <f>AVERAGEIFS(Data!$S$2:$S$151,Data!$B$2:$B$151,$A54,Data!$C$2:$C$151,E$49)</f>
        <v>0.46157414102075139</v>
      </c>
      <c r="F54" s="18">
        <f>AVERAGEIFS(Data!$S$2:$S$151,Data!$B$2:$B$151,$A54,Data!$C$2:$C$151,F$49)</f>
        <v>0.44413758265377601</v>
      </c>
    </row>
    <row r="55" spans="1:6" x14ac:dyDescent="0.2">
      <c r="A55" s="21">
        <v>10240</v>
      </c>
      <c r="B55" s="18">
        <f>AVERAGEIFS(Data!$S$2:$S$151,Data!$B$2:$B$151,$A55,Data!$C$2:$C$151,B$49)</f>
        <v>0.54766699465381974</v>
      </c>
      <c r="C55" s="18">
        <f>AVERAGEIFS(Data!$S$2:$S$151,Data!$B$2:$B$151,$A55,Data!$C$2:$C$151,C$49)</f>
        <v>0.54946782294841012</v>
      </c>
      <c r="D55" s="18">
        <f>AVERAGEIFS(Data!$S$2:$S$151,Data!$B$2:$B$151,$A55,Data!$C$2:$C$151,D$49)</f>
        <v>0.54916429196252758</v>
      </c>
      <c r="E55" s="18">
        <f>AVERAGEIFS(Data!$S$2:$S$151,Data!$B$2:$B$151,$A55,Data!$C$2:$C$151,E$49)</f>
        <v>0.54926799676065374</v>
      </c>
      <c r="F55" s="18">
        <f>AVERAGEIFS(Data!$S$2:$S$151,Data!$B$2:$B$151,$A55,Data!$C$2:$C$151,F$49)</f>
        <v>0.54956379431676505</v>
      </c>
    </row>
    <row r="57" spans="1:6" x14ac:dyDescent="0.2">
      <c r="A57" s="11" t="s">
        <v>179</v>
      </c>
      <c r="B57" s="12"/>
      <c r="C57" s="12"/>
    </row>
    <row r="58" spans="1:6" x14ac:dyDescent="0.2">
      <c r="A58" s="4" t="s">
        <v>180</v>
      </c>
      <c r="B58" s="16">
        <f>COUNTIFS(Data!$B$2:$B$151,"&lt;10240")</f>
        <v>125</v>
      </c>
    </row>
    <row r="59" spans="1:6" x14ac:dyDescent="0.2">
      <c r="A59" s="4" t="s">
        <v>181</v>
      </c>
      <c r="B59" s="16">
        <f>COUNTIFS(Data!$B$2:$B$151,"&lt;10240",Data!$F$2:$F$151,"&gt;=85",Data!$F$2:$F$151,"&lt;=125")</f>
        <v>119</v>
      </c>
    </row>
    <row r="60" spans="1:6" x14ac:dyDescent="0.2">
      <c r="A60" s="4" t="s">
        <v>182</v>
      </c>
      <c r="B60" s="23">
        <f>B59/B58</f>
        <v>0.95199999999999996</v>
      </c>
    </row>
    <row r="61" spans="1:6" x14ac:dyDescent="0.2">
      <c r="A61" s="4" t="s">
        <v>183</v>
      </c>
      <c r="B61" s="16">
        <f>COUNTIFS(Data!$B$2:$B$151,"&lt;10240",Data!$F$2:$F$151,"&gt;125")</f>
        <v>6</v>
      </c>
    </row>
    <row r="62" spans="1:6" x14ac:dyDescent="0.2">
      <c r="A62" s="4" t="s">
        <v>184</v>
      </c>
      <c r="B62" s="16">
        <f>_xlfn.MINIFS(Data!$F$2:$F$151,Data!$B$2:$B$151,"&lt;10240")</f>
        <v>85.468408231390598</v>
      </c>
    </row>
    <row r="63" spans="1:6" x14ac:dyDescent="0.2">
      <c r="A63" s="4" t="s">
        <v>185</v>
      </c>
      <c r="B63" s="16">
        <f>_xlfn.MAXIFS(Data!$F$2:$F$151,Data!$B$2:$B$151,"&lt;10240")</f>
        <v>295.96415736072203</v>
      </c>
    </row>
    <row r="64" spans="1:6" x14ac:dyDescent="0.2">
      <c r="A64" s="4" t="s">
        <v>186</v>
      </c>
      <c r="B64" s="16">
        <f>MAX(Data!$F$2:$F$151)</f>
        <v>2958.8823146361401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3" width="20" customWidth="1"/>
    <col min="4" max="4" width="24" customWidth="1"/>
    <col min="5" max="5" width="22" customWidth="1"/>
    <col min="6" max="6" width="14" customWidth="1"/>
  </cols>
  <sheetData>
    <row r="1" spans="1:6" ht="18" x14ac:dyDescent="0.2">
      <c r="A1" s="2" t="s">
        <v>187</v>
      </c>
    </row>
    <row r="2" spans="1:6" x14ac:dyDescent="0.2">
      <c r="A2" s="4" t="s">
        <v>188</v>
      </c>
    </row>
    <row r="4" spans="1:6" ht="43.5" customHeight="1" x14ac:dyDescent="0.2">
      <c r="A4" s="5" t="s">
        <v>189</v>
      </c>
      <c r="B4" s="5" t="s">
        <v>190</v>
      </c>
      <c r="C4" s="5" t="s">
        <v>191</v>
      </c>
      <c r="D4" s="5" t="s">
        <v>192</v>
      </c>
      <c r="E4" s="5" t="s">
        <v>193</v>
      </c>
      <c r="F4" s="5" t="s">
        <v>194</v>
      </c>
    </row>
    <row r="5" spans="1:6" x14ac:dyDescent="0.2">
      <c r="A5" s="4" t="s">
        <v>195</v>
      </c>
      <c r="B5" s="21">
        <v>256</v>
      </c>
      <c r="C5" s="18">
        <f>B5*Assumptions!$B$18/2^30</f>
        <v>1.953125E-2</v>
      </c>
      <c r="D5" s="13">
        <f>Assumptions!$B$21/C5</f>
        <v>3491.638766666666</v>
      </c>
      <c r="E5" s="23">
        <f>100*C5/Assumptions!$B$21</f>
        <v>2.8639846983789269E-2</v>
      </c>
      <c r="F5" s="4" t="str">
        <f t="shared" ref="F5:F12" si="0">IF(D5&gt;=100,"yes","no")</f>
        <v>yes</v>
      </c>
    </row>
    <row r="6" spans="1:6" x14ac:dyDescent="0.2">
      <c r="A6" s="4" t="s">
        <v>196</v>
      </c>
      <c r="B6" s="21">
        <v>640</v>
      </c>
      <c r="C6" s="18">
        <f>B6*Assumptions!$B$18/2^30</f>
        <v>4.8828125E-2</v>
      </c>
      <c r="D6" s="13">
        <f>Assumptions!$B$21/C6</f>
        <v>1396.6555066666665</v>
      </c>
      <c r="E6" s="23">
        <f>100*C6/Assumptions!$B$21</f>
        <v>7.1599617459473172E-2</v>
      </c>
      <c r="F6" s="4" t="str">
        <f t="shared" si="0"/>
        <v>yes</v>
      </c>
    </row>
    <row r="7" spans="1:6" x14ac:dyDescent="0.2">
      <c r="A7" s="4" t="s">
        <v>197</v>
      </c>
      <c r="B7" s="21">
        <v>1152</v>
      </c>
      <c r="C7" s="18">
        <f>B7*Assumptions!$B$18/2^30</f>
        <v>8.7890625E-2</v>
      </c>
      <c r="D7" s="13">
        <f>Assumptions!$B$21/C7</f>
        <v>775.91972592592583</v>
      </c>
      <c r="E7" s="23">
        <f>100*C7/Assumptions!$B$21</f>
        <v>0.1288793114270517</v>
      </c>
      <c r="F7" s="4" t="str">
        <f t="shared" si="0"/>
        <v>yes</v>
      </c>
    </row>
    <row r="8" spans="1:6" x14ac:dyDescent="0.2">
      <c r="A8" s="4" t="s">
        <v>198</v>
      </c>
      <c r="B8" s="21">
        <v>2176</v>
      </c>
      <c r="C8" s="18">
        <f>B8*Assumptions!$B$18/2^30</f>
        <v>0.166015625</v>
      </c>
      <c r="D8" s="13">
        <f>Assumptions!$B$21/C8</f>
        <v>410.78103137254897</v>
      </c>
      <c r="E8" s="23">
        <f>100*C8/Assumptions!$B$21</f>
        <v>0.24343869936220877</v>
      </c>
      <c r="F8" s="4" t="str">
        <f t="shared" si="0"/>
        <v>yes</v>
      </c>
    </row>
    <row r="9" spans="1:6" x14ac:dyDescent="0.2">
      <c r="A9" s="4" t="s">
        <v>199</v>
      </c>
      <c r="B9" s="21">
        <v>5248</v>
      </c>
      <c r="C9" s="18">
        <f>B9*Assumptions!$B$18/2^30</f>
        <v>0.400390625</v>
      </c>
      <c r="D9" s="13">
        <f>Assumptions!$B$21/C9</f>
        <v>170.32384227642274</v>
      </c>
      <c r="E9" s="23">
        <f>100*C9/Assumptions!$B$21</f>
        <v>0.58711686316767997</v>
      </c>
      <c r="F9" s="4" t="str">
        <f t="shared" si="0"/>
        <v>yes</v>
      </c>
    </row>
    <row r="10" spans="1:6" x14ac:dyDescent="0.2">
      <c r="A10" s="4" t="s">
        <v>200</v>
      </c>
      <c r="B10" s="21">
        <v>10368</v>
      </c>
      <c r="C10" s="18">
        <f>B10*Assumptions!$B$18/2^30</f>
        <v>0.791015625</v>
      </c>
      <c r="D10" s="13">
        <f>Assumptions!$B$21/C10</f>
        <v>86.213302880658418</v>
      </c>
      <c r="E10" s="23">
        <f>100*C10/Assumptions!$B$21</f>
        <v>1.1599138028434655</v>
      </c>
      <c r="F10" s="4" t="str">
        <f t="shared" si="0"/>
        <v>no</v>
      </c>
    </row>
    <row r="11" spans="1:6" x14ac:dyDescent="0.2">
      <c r="A11" s="4" t="s">
        <v>201</v>
      </c>
      <c r="B11" s="21">
        <v>11264</v>
      </c>
      <c r="C11" s="18">
        <f>B11*Assumptions!$B$18/2^30</f>
        <v>0.859375</v>
      </c>
      <c r="D11" s="13">
        <f>Assumptions!$B$21/C11</f>
        <v>79.355426515151507</v>
      </c>
      <c r="E11" s="23">
        <f>100*C11/Assumptions!$B$21</f>
        <v>1.2601532672867277</v>
      </c>
      <c r="F11" s="4" t="str">
        <f t="shared" si="0"/>
        <v>no</v>
      </c>
    </row>
    <row r="12" spans="1:6" x14ac:dyDescent="0.2">
      <c r="A12" s="4" t="s">
        <v>202</v>
      </c>
      <c r="B12" s="21">
        <v>16384</v>
      </c>
      <c r="C12" s="18">
        <f>B12*Assumptions!$B$18/2^30</f>
        <v>1.25</v>
      </c>
      <c r="D12" s="13">
        <f>Assumptions!$B$21/C12</f>
        <v>54.556855729166656</v>
      </c>
      <c r="E12" s="23">
        <f>100*C12/Assumptions!$B$21</f>
        <v>1.8329502069625132</v>
      </c>
      <c r="F12" s="4" t="str">
        <f t="shared" si="0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topLeftCell="A18" zoomScaleNormal="100" workbookViewId="0">
      <selection activeCell="A25" sqref="A25:D25"/>
    </sheetView>
  </sheetViews>
  <sheetFormatPr baseColWidth="10" defaultColWidth="8.6640625" defaultRowHeight="15" x14ac:dyDescent="0.2"/>
  <cols>
    <col min="1" max="1" width="60" customWidth="1"/>
    <col min="2" max="2" width="22" customWidth="1"/>
    <col min="3" max="3" width="18" customWidth="1"/>
    <col min="4" max="4" width="22" customWidth="1"/>
  </cols>
  <sheetData>
    <row r="1" spans="1:4" ht="18" x14ac:dyDescent="0.2">
      <c r="A1" s="2" t="s">
        <v>203</v>
      </c>
    </row>
    <row r="2" spans="1:4" x14ac:dyDescent="0.2">
      <c r="A2" s="4" t="s">
        <v>204</v>
      </c>
    </row>
    <row r="4" spans="1:4" x14ac:dyDescent="0.2">
      <c r="A4" s="4" t="s">
        <v>205</v>
      </c>
      <c r="B4" s="13">
        <f>AVERAGE(Data!$H$2:$H$151)</f>
        <v>1520.5128948281642</v>
      </c>
    </row>
    <row r="5" spans="1:4" x14ac:dyDescent="0.2">
      <c r="A5" s="4" t="s">
        <v>206</v>
      </c>
      <c r="B5" s="18">
        <f>AVERAGE(Data!$W$2:$W$151)</f>
        <v>0.11685712228107302</v>
      </c>
    </row>
    <row r="6" spans="1:4" x14ac:dyDescent="0.2">
      <c r="A6" s="4" t="s">
        <v>207</v>
      </c>
      <c r="B6" s="14">
        <f>AVERAGE(Data!$AS$2:$AS$151)</f>
        <v>71.810262623100002</v>
      </c>
    </row>
    <row r="7" spans="1:4" x14ac:dyDescent="0.2">
      <c r="A7" s="4" t="s">
        <v>208</v>
      </c>
      <c r="B7" s="13">
        <f>Assumptions!B24</f>
        <v>325.57386020571431</v>
      </c>
    </row>
    <row r="9" spans="1:4" ht="43.5" customHeight="1" x14ac:dyDescent="0.2">
      <c r="A9" s="5" t="s">
        <v>209</v>
      </c>
      <c r="B9" s="5" t="s">
        <v>210</v>
      </c>
      <c r="C9" s="5" t="s">
        <v>211</v>
      </c>
      <c r="D9" s="5" t="s">
        <v>212</v>
      </c>
    </row>
    <row r="10" spans="1:4" x14ac:dyDescent="0.2">
      <c r="A10" s="4" t="s">
        <v>213</v>
      </c>
      <c r="B10" s="20">
        <f>AVERAGE(Data!$AR$2:$AR$151)</f>
        <v>5.321795131898574E-2</v>
      </c>
      <c r="C10" s="13">
        <f>Assumptions!$B$9*Assumptions!$B$11*1000000000000*B10/Assumptions!$B$16</f>
        <v>1520.512894828164</v>
      </c>
      <c r="D10" s="24">
        <f>C10/$B$4</f>
        <v>0.99999999999999989</v>
      </c>
    </row>
    <row r="11" spans="1:4" x14ac:dyDescent="0.2">
      <c r="A11" s="4" t="s">
        <v>214</v>
      </c>
      <c r="B11" s="25">
        <v>0.25</v>
      </c>
      <c r="C11" s="13">
        <f>Assumptions!$B$9*Assumptions!$B$11*1000000000000*B11/Assumptions!$B$16</f>
        <v>7142.8571428571431</v>
      </c>
      <c r="D11" s="24">
        <f>C11/$B$4</f>
        <v>4.6976629840843076</v>
      </c>
    </row>
    <row r="12" spans="1:4" x14ac:dyDescent="0.2">
      <c r="A12" s="4" t="s">
        <v>215</v>
      </c>
      <c r="B12" s="25">
        <v>0.5</v>
      </c>
      <c r="C12" s="13">
        <f>Assumptions!$B$9*Assumptions!$B$11*1000000000000*B12/Assumptions!$B$16</f>
        <v>14285.714285714286</v>
      </c>
      <c r="D12" s="24">
        <f>C12/$B$4</f>
        <v>9.3953259681686152</v>
      </c>
    </row>
    <row r="13" spans="1:4" x14ac:dyDescent="0.2">
      <c r="A13" s="4" t="s">
        <v>216</v>
      </c>
      <c r="B13" s="25">
        <v>0.6</v>
      </c>
      <c r="C13" s="13">
        <f>Assumptions!$B$9*Assumptions!$B$11*1000000000000*B13/Assumptions!$B$16</f>
        <v>17142.857142857141</v>
      </c>
      <c r="D13" s="24">
        <f>C13/$B$4</f>
        <v>11.274391161802336</v>
      </c>
    </row>
    <row r="14" spans="1:4" x14ac:dyDescent="0.2">
      <c r="A14" s="4" t="s">
        <v>217</v>
      </c>
      <c r="B14" s="25">
        <v>1</v>
      </c>
      <c r="C14" s="13">
        <f>Assumptions!$B$9*Assumptions!$B$11*1000000000000*B14/Assumptions!$B$16</f>
        <v>28571.428571428572</v>
      </c>
      <c r="D14" s="24">
        <f>C14/$B$4</f>
        <v>18.79065193633723</v>
      </c>
    </row>
    <row r="16" spans="1:4" x14ac:dyDescent="0.2">
      <c r="A16" s="26" t="s">
        <v>218</v>
      </c>
    </row>
    <row r="17" spans="1:4" x14ac:dyDescent="0.2">
      <c r="A17" s="4" t="s">
        <v>219</v>
      </c>
      <c r="B17" s="27">
        <v>0.9</v>
      </c>
      <c r="D17" s="24">
        <f>B17/B5</f>
        <v>7.7017128475511862</v>
      </c>
    </row>
    <row r="19" spans="1:4" ht="75" customHeight="1" x14ac:dyDescent="0.2">
      <c r="A19" s="28" t="s">
        <v>220</v>
      </c>
      <c r="B19" s="28"/>
      <c r="C19" s="28"/>
      <c r="D19" s="28"/>
    </row>
    <row r="21" spans="1:4" x14ac:dyDescent="0.2">
      <c r="A21" s="26" t="s">
        <v>221</v>
      </c>
    </row>
    <row r="22" spans="1:4" x14ac:dyDescent="0.2">
      <c r="A22" s="4" t="s">
        <v>222</v>
      </c>
      <c r="B22" s="19">
        <f>AVERAGEIFS(Data!$AO$2:$AO$151,Data!$B$2:$B$151,"&gt;=512")</f>
        <v>5.9578498363695411</v>
      </c>
    </row>
    <row r="23" spans="1:4" x14ac:dyDescent="0.2">
      <c r="A23" s="4" t="s">
        <v>223</v>
      </c>
      <c r="B23" s="13">
        <f>Assumptions!B13*1000000000/(B22*1000000)</f>
        <v>10574.284637960849</v>
      </c>
    </row>
    <row r="24" spans="1:4" x14ac:dyDescent="0.2">
      <c r="A24" s="4" t="s">
        <v>224</v>
      </c>
      <c r="B24" s="24">
        <f>B23/B4</f>
        <v>6.9544195737688019</v>
      </c>
    </row>
    <row r="25" spans="1:4" ht="30" customHeight="1" x14ac:dyDescent="0.2">
      <c r="A25" s="28" t="s">
        <v>228</v>
      </c>
      <c r="B25" s="28"/>
      <c r="C25" s="28"/>
      <c r="D25" s="28"/>
    </row>
  </sheetData>
  <mergeCells count="2"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Assumptions</vt:lpstr>
      <vt:lpstr>Data</vt:lpstr>
      <vt:lpstr>By_Output_Len</vt:lpstr>
      <vt:lpstr>By_Input_Len</vt:lpstr>
      <vt:lpstr>By_Rate</vt:lpstr>
      <vt:lpstr>Rate_Effect</vt:lpstr>
      <vt:lpstr>KV_Capacity</vt:lpstr>
      <vt:lpstr>Maximum Throughput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2026-10-08T19:52:06Z</dcterms:created>
  <dcterms:modified xsi:type="dcterms:W3CDTF">2026-10-08T23:45:12Z</dcterms:modified>
  <cp:category/>
  <dc:language>en-US</dc:language>
</cp:coreProperties>
</file>